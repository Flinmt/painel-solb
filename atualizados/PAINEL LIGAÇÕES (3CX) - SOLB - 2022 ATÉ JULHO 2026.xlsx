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\OneDrive\Documentos\Clientes\SOLB\DASHBOARDS\Exames-config\dados\paineis\3cx\"/>
    </mc:Choice>
  </mc:AlternateContent>
  <xr:revisionPtr revIDLastSave="0" documentId="13_ncr:1_{268482D6-F890-4205-A5C2-13CB56CD9AEC}" xr6:coauthVersionLast="47" xr6:coauthVersionMax="47" xr10:uidLastSave="{00000000-0000-0000-0000-000000000000}"/>
  <bookViews>
    <workbookView xWindow="-120" yWindow="-120" windowWidth="20730" windowHeight="11040" xr2:uid="{431A8E09-D5FA-4E51-89B6-B24666815698}"/>
  </bookViews>
  <sheets>
    <sheet name="DASHBOARD" sheetId="9" r:id="rId1"/>
    <sheet name="CONFIG - 2025" sheetId="8" state="hidden" r:id="rId2"/>
  </sheets>
  <definedNames>
    <definedName name="SegmentaçãodeDados_ANO">#N/A</definedName>
    <definedName name="SegmentaçãodeDados_ANO1">#N/A</definedName>
    <definedName name="SegmentaçãodeDados_MÊS">#N/A</definedName>
  </definedNames>
  <calcPr calcId="191029"/>
  <pivotCaches>
    <pivotCache cacheId="0" r:id="rId3"/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8" l="1"/>
  <c r="E53" i="8"/>
  <c r="E52" i="8"/>
  <c r="E51" i="8"/>
  <c r="E50" i="8"/>
  <c r="J165" i="8"/>
  <c r="I165" i="8"/>
  <c r="J164" i="8"/>
  <c r="I164" i="8"/>
  <c r="J163" i="8"/>
  <c r="I163" i="8"/>
  <c r="I137" i="8"/>
  <c r="J152" i="8"/>
  <c r="J151" i="8"/>
  <c r="J150" i="8"/>
  <c r="J149" i="8"/>
  <c r="J119" i="8"/>
  <c r="J139" i="8"/>
  <c r="I139" i="8"/>
  <c r="J138" i="8"/>
  <c r="I138" i="8"/>
  <c r="J137" i="8"/>
  <c r="J136" i="8"/>
  <c r="I136" i="8"/>
  <c r="J135" i="8"/>
  <c r="I135" i="8"/>
  <c r="J134" i="8"/>
  <c r="J133" i="8"/>
  <c r="I134" i="8"/>
  <c r="I133" i="8"/>
  <c r="E41" i="8"/>
  <c r="I121" i="8"/>
  <c r="J132" i="8"/>
  <c r="J131" i="8"/>
  <c r="J130" i="8"/>
  <c r="J129" i="8"/>
  <c r="J120" i="8"/>
  <c r="J121" i="8"/>
  <c r="J122" i="8"/>
  <c r="J123" i="8"/>
  <c r="J124" i="8"/>
  <c r="J125" i="8"/>
  <c r="J126" i="8"/>
  <c r="J127" i="8"/>
  <c r="J128" i="8"/>
  <c r="I132" i="8"/>
  <c r="I131" i="8"/>
  <c r="I130" i="8"/>
  <c r="I129" i="8"/>
  <c r="I128" i="8"/>
  <c r="I127" i="8"/>
  <c r="I126" i="8"/>
  <c r="I125" i="8"/>
  <c r="I124" i="8"/>
  <c r="I123" i="8"/>
  <c r="I122" i="8"/>
  <c r="I120" i="8"/>
  <c r="I119" i="8"/>
  <c r="I118" i="8"/>
  <c r="E42" i="8"/>
  <c r="E43" i="8"/>
  <c r="E44" i="8"/>
  <c r="E45" i="8"/>
  <c r="E46" i="8"/>
  <c r="E47" i="8"/>
  <c r="E48" i="8"/>
  <c r="E49" i="8"/>
  <c r="J118" i="8" l="1"/>
  <c r="E39" i="8"/>
  <c r="E40" i="8"/>
  <c r="E38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572569-0F63-4A41-9951-83852138F9AB}" keepAlive="1" name="Consulta - 3cx" description="Conexão com a consulta '3cx' na pasta de trabalho." type="5" refreshedVersion="7" background="1" saveData="1">
    <dbPr connection="Provider=Microsoft.Mashup.OleDb.1;Data Source=$Workbook$;Location=3cx;Extended Properties=&quot;&quot;" command="SELECT * FROM [3cx]"/>
  </connection>
  <connection id="2" xr16:uid="{700AD4EC-58D1-43E5-A439-1AED321319C5}" keepAlive="1" name="Consulta - Planilha1" description="Conexão com a consulta 'Planilha1' na pasta de trabalho." type="5" refreshedVersion="0" background="1">
    <dbPr connection="Provider=Microsoft.Mashup.OleDb.1;Data Source=$Workbook$;Location=Planilha1;Extended Properties=&quot;&quot;" command="SELECT * FROM [Planilha1]"/>
  </connection>
</connections>
</file>

<file path=xl/sharedStrings.xml><?xml version="1.0" encoding="utf-8"?>
<sst xmlns="http://schemas.openxmlformats.org/spreadsheetml/2006/main" count="465" uniqueCount="41">
  <si>
    <t>KETLEN</t>
  </si>
  <si>
    <t>MÊS</t>
  </si>
  <si>
    <t>JULHO</t>
  </si>
  <si>
    <t>AGOSTO</t>
  </si>
  <si>
    <t>JUNHO</t>
  </si>
  <si>
    <t>MAIO</t>
  </si>
  <si>
    <t>ABRIL</t>
  </si>
  <si>
    <t>MARÇO</t>
  </si>
  <si>
    <t>FEVEREIRO</t>
  </si>
  <si>
    <t>JANEIRO</t>
  </si>
  <si>
    <t>Atendidas</t>
  </si>
  <si>
    <t>Não atendidas</t>
  </si>
  <si>
    <t>DEZEMBRO</t>
  </si>
  <si>
    <t>NOVEMBRO</t>
  </si>
  <si>
    <t>OUTUBRO</t>
  </si>
  <si>
    <t>SETEMBRO</t>
  </si>
  <si>
    <t>TTA</t>
  </si>
  <si>
    <t>TMA</t>
  </si>
  <si>
    <t>Recebidas</t>
  </si>
  <si>
    <t>NOME</t>
  </si>
  <si>
    <t>Mês</t>
  </si>
  <si>
    <t>Rótulos de Linha</t>
  </si>
  <si>
    <t>Total Geral</t>
  </si>
  <si>
    <t>Total de Recebidas</t>
  </si>
  <si>
    <t>ATENDIMENTOS</t>
  </si>
  <si>
    <t>Soma de ATENDIMENTOS</t>
  </si>
  <si>
    <t>Soma de TTA</t>
  </si>
  <si>
    <t>Soma de TMA</t>
  </si>
  <si>
    <t>THIAGO PAULO</t>
  </si>
  <si>
    <t>TATIANE AMARAL</t>
  </si>
  <si>
    <t>LUCIENE CRISTINA</t>
  </si>
  <si>
    <t>SANDRA RODRIGUES</t>
  </si>
  <si>
    <t>THAIS PRISCILA</t>
  </si>
  <si>
    <t>% do Total Mensal</t>
  </si>
  <si>
    <t>ANO</t>
  </si>
  <si>
    <t>Soma de Recebidas</t>
  </si>
  <si>
    <t>Soma de Atendidas</t>
  </si>
  <si>
    <t>Soma de Não atendidas</t>
  </si>
  <si>
    <t>SUPORTE</t>
  </si>
  <si>
    <t>MARCO</t>
  </si>
  <si>
    <t>LUCIANA VALENÇA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</si>
</sst>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11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0" fillId="0" borderId="8" xfId="0" applyBorder="1"/>
    <xf numFmtId="0" fontId="3" fillId="3" borderId="0" xfId="0" applyFont="1" applyFill="1" applyAlignment="1">
      <alignment vertical="center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2" borderId="0" xfId="0" applyFill="1"/>
    <xf numFmtId="0" fontId="3" fillId="0" borderId="0" xfId="0" applyFont="1"/>
    <xf numFmtId="46" fontId="2" fillId="2" borderId="0" xfId="0" applyNumberFormat="1" applyFont="1" applyFill="1"/>
    <xf numFmtId="10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0" xfId="0" applyAlignment="1">
      <alignment vertical="center" wrapText="1"/>
    </xf>
    <xf numFmtId="21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6" fontId="3" fillId="0" borderId="0" xfId="0" applyNumberFormat="1" applyFont="1"/>
    <xf numFmtId="0" fontId="0" fillId="4" borderId="0" xfId="0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2"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111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111"/>
        <name val="Calibri"/>
        <family val="2"/>
        <scheme val="minor"/>
      </font>
      <numFmt numFmtId="31" formatCode="[h]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11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lor theme="1"/>
      </font>
      <border diagonalUp="1" diagonalDown="1">
        <bottom style="thin">
          <color theme="4"/>
        </bottom>
        <diagonal style="thin">
          <color theme="4"/>
        </diagonal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olb" pivot="0" table="0" count="10" xr9:uid="{864CBC97-B3A5-4E4B-BD9B-AD16F77D8EB2}">
      <tableStyleElement type="wholeTable" dxfId="21"/>
      <tableStyleElement type="headerRow" dxfId="20"/>
    </tableStyle>
  </tableStyles>
  <colors>
    <mruColors>
      <color rgb="FFCC0000"/>
      <color rgb="FF9900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 tint="-0.499984740745262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olb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LIGAÇÕES (3CX) - SOLB - 2022 ATÉ JULHO 2026.xlsx]CONFIG - 2025!Tabela dinâmica7</c:name>
    <c:fmtId val="10"/>
  </c:pivotSource>
  <c:chart>
    <c:autoTitleDeleted val="1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'CONFIG - 2025'!$G$1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A8-4E08-84B6-E6078F254898}"/>
              </c:ext>
            </c:extLst>
          </c:dPt>
          <c:cat>
            <c:strRef>
              <c:f>'CONFIG - 2025'!$G$2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'CONFIG - 2025'!$G$2</c:f>
              <c:numCache>
                <c:formatCode>General</c:formatCode>
                <c:ptCount val="1"/>
                <c:pt idx="0">
                  <c:v>35159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8-4E08-84B6-E6078F254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LIGAÇÕES (3CX) - SOLB - 2022 ATÉ JULHO 2026.xlsx]CONFIG - 2025!Tabela dinâmica12</c:name>
    <c:fmtId val="4"/>
  </c:pivotSource>
  <c:chart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'CONFIG - 2025'!$M$1</c:f>
              <c:strCache>
                <c:ptCount val="1"/>
                <c:pt idx="0">
                  <c:v>Soma de TTA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'CONFIG - 2025'!$L$2:$L$7</c:f>
              <c:strCache>
                <c:ptCount val="5"/>
                <c:pt idx="0">
                  <c:v>TATIANE AMARAL</c:v>
                </c:pt>
                <c:pt idx="1">
                  <c:v>LUCIENE CRISTINA</c:v>
                </c:pt>
                <c:pt idx="2">
                  <c:v>SANDRA RODRIGUES</c:v>
                </c:pt>
                <c:pt idx="3">
                  <c:v>THAIS PRISCILA</c:v>
                </c:pt>
                <c:pt idx="4">
                  <c:v>LUCIANA VALENÇA</c:v>
                </c:pt>
              </c:strCache>
            </c:strRef>
          </c:cat>
          <c:val>
            <c:numRef>
              <c:f>'CONFIG - 2025'!$M$2:$M$7</c:f>
              <c:numCache>
                <c:formatCode>General</c:formatCode>
                <c:ptCount val="5"/>
                <c:pt idx="0">
                  <c:v>3722.55</c:v>
                </c:pt>
                <c:pt idx="1">
                  <c:v>3433.57</c:v>
                </c:pt>
                <c:pt idx="2">
                  <c:v>3297.85</c:v>
                </c:pt>
                <c:pt idx="3">
                  <c:v>3235.53</c:v>
                </c:pt>
                <c:pt idx="4">
                  <c:v>315.18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7-4D43-B153-3A996B0FB9BD}"/>
            </c:ext>
          </c:extLst>
        </c:ser>
        <c:ser>
          <c:idx val="1"/>
          <c:order val="1"/>
          <c:tx>
            <c:strRef>
              <c:f>'CONFIG - 2025'!$N$1</c:f>
              <c:strCache>
                <c:ptCount val="1"/>
                <c:pt idx="0">
                  <c:v>Soma de TMA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'CONFIG - 2025'!$L$2:$L$7</c:f>
              <c:strCache>
                <c:ptCount val="5"/>
                <c:pt idx="0">
                  <c:v>TATIANE AMARAL</c:v>
                </c:pt>
                <c:pt idx="1">
                  <c:v>LUCIENE CRISTINA</c:v>
                </c:pt>
                <c:pt idx="2">
                  <c:v>SANDRA RODRIGUES</c:v>
                </c:pt>
                <c:pt idx="3">
                  <c:v>THAIS PRISCILA</c:v>
                </c:pt>
                <c:pt idx="4">
                  <c:v>LUCIANA VALENÇA</c:v>
                </c:pt>
              </c:strCache>
            </c:strRef>
          </c:cat>
          <c:val>
            <c:numRef>
              <c:f>'CONFIG - 2025'!$N$2:$N$7</c:f>
              <c:numCache>
                <c:formatCode>General</c:formatCode>
                <c:ptCount val="5"/>
                <c:pt idx="0">
                  <c:v>2.72</c:v>
                </c:pt>
                <c:pt idx="1">
                  <c:v>2.4300000000000002</c:v>
                </c:pt>
                <c:pt idx="2">
                  <c:v>2.5499999999999998</c:v>
                </c:pt>
                <c:pt idx="3">
                  <c:v>2.65</c:v>
                </c:pt>
                <c:pt idx="4">
                  <c:v>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A7-4D43-B153-3A996B0FB9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8771679"/>
        <c:axId val="478772511"/>
      </c:barChart>
      <c:catAx>
        <c:axId val="47877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8772511"/>
        <c:crosses val="autoZero"/>
        <c:auto val="1"/>
        <c:lblAlgn val="ctr"/>
        <c:lblOffset val="100"/>
        <c:noMultiLvlLbl val="0"/>
      </c:catAx>
      <c:valAx>
        <c:axId val="47877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877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LIGAÇÕES (3CX) - SOLB - 2022 ATÉ JULHO 2026.xlsx]CONFIG - 2025!Tabela dinâmica1</c:name>
    <c:fmtId val="12"/>
  </c:pivotSource>
  <c:chart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'CONFIG - 2025'!$H$12</c:f>
              <c:strCache>
                <c:ptCount val="1"/>
                <c:pt idx="0">
                  <c:v>Soma de ATENDIMENTOS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'CONFIG - 2025'!$G$13:$G$18</c:f>
              <c:strCache>
                <c:ptCount val="5"/>
                <c:pt idx="0">
                  <c:v>LUCIANA VALENÇA</c:v>
                </c:pt>
                <c:pt idx="1">
                  <c:v>THAIS PRISCILA</c:v>
                </c:pt>
                <c:pt idx="2">
                  <c:v>SANDRA RODRIGUES</c:v>
                </c:pt>
                <c:pt idx="3">
                  <c:v>TATIANE AMARAL</c:v>
                </c:pt>
                <c:pt idx="4">
                  <c:v>LUCIENE CRISTINA</c:v>
                </c:pt>
              </c:strCache>
            </c:strRef>
          </c:cat>
          <c:val>
            <c:numRef>
              <c:f>'CONFIG - 2025'!$H$13:$H$18</c:f>
              <c:numCache>
                <c:formatCode>General</c:formatCode>
                <c:ptCount val="5"/>
                <c:pt idx="0">
                  <c:v>89</c:v>
                </c:pt>
                <c:pt idx="1">
                  <c:v>1222</c:v>
                </c:pt>
                <c:pt idx="2">
                  <c:v>1290</c:v>
                </c:pt>
                <c:pt idx="3">
                  <c:v>1374</c:v>
                </c:pt>
                <c:pt idx="4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8-4390-B661-08C731C07F88}"/>
            </c:ext>
          </c:extLst>
        </c:ser>
        <c:ser>
          <c:idx val="1"/>
          <c:order val="1"/>
          <c:tx>
            <c:strRef>
              <c:f>'CONFIG - 2025'!$I$12</c:f>
              <c:strCache>
                <c:ptCount val="1"/>
                <c:pt idx="0">
                  <c:v>% do Total Mensal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'CONFIG - 2025'!$G$13:$G$18</c:f>
              <c:strCache>
                <c:ptCount val="5"/>
                <c:pt idx="0">
                  <c:v>LUCIANA VALENÇA</c:v>
                </c:pt>
                <c:pt idx="1">
                  <c:v>THAIS PRISCILA</c:v>
                </c:pt>
                <c:pt idx="2">
                  <c:v>SANDRA RODRIGUES</c:v>
                </c:pt>
                <c:pt idx="3">
                  <c:v>TATIANE AMARAL</c:v>
                </c:pt>
                <c:pt idx="4">
                  <c:v>LUCIENE CRISTINA</c:v>
                </c:pt>
              </c:strCache>
            </c:strRef>
          </c:cat>
          <c:val>
            <c:numRef>
              <c:f>'CONFIG - 2025'!$I$13:$I$18</c:f>
              <c:numCache>
                <c:formatCode>0.00%</c:formatCode>
                <c:ptCount val="5"/>
                <c:pt idx="0">
                  <c:v>1.6518188567186339E-2</c:v>
                </c:pt>
                <c:pt idx="1">
                  <c:v>0.22680029695619897</c:v>
                </c:pt>
                <c:pt idx="2">
                  <c:v>0.23942093541202672</c:v>
                </c:pt>
                <c:pt idx="3">
                  <c:v>0.25501113585746105</c:v>
                </c:pt>
                <c:pt idx="4">
                  <c:v>0.26224944320712695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8-4390-B661-08C731C07F8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60819888"/>
        <c:axId val="1460818640"/>
      </c:barChart>
      <c:catAx>
        <c:axId val="146081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0818640"/>
        <c:crosses val="autoZero"/>
        <c:auto val="1"/>
        <c:lblAlgn val="ctr"/>
        <c:lblOffset val="100"/>
        <c:noMultiLvlLbl val="0"/>
      </c:catAx>
      <c:valAx>
        <c:axId val="146081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081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LIGAÇÕES (3CX) - SOLB - 2022 ATÉ JULHO 2026.xlsx]CONFIG - 2025!Tabela dinâmica2</c:name>
    <c:fmtId val="4"/>
  </c:pivotSource>
  <c:chart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'CONFIG - 2025'!$B$57</c:f>
              <c:strCache>
                <c:ptCount val="1"/>
                <c:pt idx="0">
                  <c:v>Soma de Recebidas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'CONFIG - 2025'!$A$58:$A$65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'CONFIG - 2025'!$B$58:$B$65</c:f>
              <c:numCache>
                <c:formatCode>General</c:formatCode>
                <c:ptCount val="7"/>
                <c:pt idx="0">
                  <c:v>5913</c:v>
                </c:pt>
                <c:pt idx="1">
                  <c:v>4254</c:v>
                </c:pt>
                <c:pt idx="2">
                  <c:v>5334</c:v>
                </c:pt>
                <c:pt idx="3">
                  <c:v>4729</c:v>
                </c:pt>
                <c:pt idx="4">
                  <c:v>4772</c:v>
                </c:pt>
                <c:pt idx="5">
                  <c:v>4112</c:v>
                </c:pt>
                <c:pt idx="6">
                  <c:v>6045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3-4873-9483-899A48D850AC}"/>
            </c:ext>
          </c:extLst>
        </c:ser>
        <c:ser>
          <c:idx val="1"/>
          <c:order val="1"/>
          <c:tx>
            <c:strRef>
              <c:f>'CONFIG - 2025'!$C$57</c:f>
              <c:strCache>
                <c:ptCount val="1"/>
                <c:pt idx="0">
                  <c:v>Soma de Atendidas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'CONFIG - 2025'!$A$58:$A$65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'CONFIG - 2025'!$C$58:$C$65</c:f>
              <c:numCache>
                <c:formatCode>General</c:formatCode>
                <c:ptCount val="7"/>
                <c:pt idx="0">
                  <c:v>5423</c:v>
                </c:pt>
                <c:pt idx="1">
                  <c:v>3855</c:v>
                </c:pt>
                <c:pt idx="2">
                  <c:v>4946</c:v>
                </c:pt>
                <c:pt idx="3">
                  <c:v>4390</c:v>
                </c:pt>
                <c:pt idx="4">
                  <c:v>4433</c:v>
                </c:pt>
                <c:pt idx="5">
                  <c:v>3747</c:v>
                </c:pt>
                <c:pt idx="6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23-4873-9483-899A48D850AC}"/>
            </c:ext>
          </c:extLst>
        </c:ser>
        <c:ser>
          <c:idx val="2"/>
          <c:order val="2"/>
          <c:tx>
            <c:strRef>
              <c:f>'CONFIG - 2025'!$D$57</c:f>
              <c:strCache>
                <c:ptCount val="1"/>
                <c:pt idx="0">
                  <c:v>Soma de Não atendidas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'CONFIG - 2025'!$A$58:$A$65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'CONFIG - 2025'!$D$58:$D$65</c:f>
              <c:numCache>
                <c:formatCode>General</c:formatCode>
                <c:ptCount val="7"/>
                <c:pt idx="0">
                  <c:v>490</c:v>
                </c:pt>
                <c:pt idx="1">
                  <c:v>399</c:v>
                </c:pt>
                <c:pt idx="2">
                  <c:v>388</c:v>
                </c:pt>
                <c:pt idx="3">
                  <c:v>339</c:v>
                </c:pt>
                <c:pt idx="4">
                  <c:v>339</c:v>
                </c:pt>
                <c:pt idx="5">
                  <c:v>365</c:v>
                </c:pt>
                <c:pt idx="6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23-4873-9483-899A48D850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1176223"/>
        <c:axId val="1921192863"/>
      </c:barChart>
      <c:catAx>
        <c:axId val="192117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1192863"/>
        <c:crosses val="autoZero"/>
        <c:auto val="1"/>
        <c:lblAlgn val="ctr"/>
        <c:lblOffset val="100"/>
        <c:noMultiLvlLbl val="0"/>
      </c:catAx>
      <c:valAx>
        <c:axId val="192119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117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61968</xdr:colOff>
      <xdr:row>0</xdr:row>
      <xdr:rowOff>0</xdr:rowOff>
    </xdr:from>
    <xdr:to>
      <xdr:col>12</xdr:col>
      <xdr:colOff>100068</xdr:colOff>
      <xdr:row>2</xdr:row>
      <xdr:rowOff>160020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C6586073-ED97-48CD-9BE4-001332F10487}"/>
            </a:ext>
          </a:extLst>
        </xdr:cNvPr>
        <xdr:cNvSpPr/>
      </xdr:nvSpPr>
      <xdr:spPr>
        <a:xfrm>
          <a:off x="61968" y="0"/>
          <a:ext cx="7353300" cy="525780"/>
        </a:xfrm>
        <a:prstGeom prst="roundRect">
          <a:avLst>
            <a:gd name="adj" fmla="val 9194"/>
          </a:avLst>
        </a:prstGeom>
        <a:solidFill>
          <a:schemeClr val="bg1">
            <a:lumMod val="9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600" b="0" cap="none" spc="0">
              <a:ln w="0"/>
              <a:solidFill>
                <a:schemeClr val="tx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Painel de Atendimentos</a:t>
          </a:r>
          <a:r>
            <a:rPr lang="pt-BR" sz="1600" b="0" cap="none" spc="0" baseline="0">
              <a:ln w="0"/>
              <a:solidFill>
                <a:schemeClr val="tx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 via Ligação (3CX)</a:t>
          </a:r>
          <a:endParaRPr lang="pt-BR" sz="1600" b="0" cap="none" spc="0">
            <a:ln w="0"/>
            <a:solidFill>
              <a:schemeClr val="tx2">
                <a:lumMod val="75000"/>
              </a:schemeClr>
            </a:solidFill>
            <a:effectLst>
              <a:reflection blurRad="6350" stA="53000" endA="300" endPos="35500" dir="5400000" sy="-90000" algn="bl" rotWithShape="0"/>
            </a:effectLst>
            <a:latin typeface="Arial Black" panose="020B0A04020102020204" pitchFamily="34" charset="0"/>
          </a:endParaRPr>
        </a:p>
        <a:p>
          <a:pPr algn="l"/>
          <a:endParaRPr lang="pt-BR" sz="1050" b="0" cap="none" spc="0">
            <a:ln w="0"/>
            <a:solidFill>
              <a:schemeClr val="tx2">
                <a:lumMod val="75000"/>
              </a:schemeClr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440266</xdr:colOff>
      <xdr:row>4</xdr:row>
      <xdr:rowOff>48048</xdr:rowOff>
    </xdr:from>
    <xdr:to>
      <xdr:col>7</xdr:col>
      <xdr:colOff>444076</xdr:colOff>
      <xdr:row>19</xdr:row>
      <xdr:rowOff>74083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14ED7703-CA29-4FAA-81DC-0F400F8295EB}"/>
            </a:ext>
          </a:extLst>
        </xdr:cNvPr>
        <xdr:cNvGrpSpPr/>
      </xdr:nvGrpSpPr>
      <xdr:grpSpPr>
        <a:xfrm>
          <a:off x="2218266" y="810048"/>
          <a:ext cx="2374477" cy="2883535"/>
          <a:chOff x="73959" y="809625"/>
          <a:chExt cx="3335991" cy="272224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484D3BDE-6E62-41CF-AD05-B6BB3F32877A}"/>
              </a:ext>
            </a:extLst>
          </xdr:cNvPr>
          <xdr:cNvSpPr/>
        </xdr:nvSpPr>
        <xdr:spPr>
          <a:xfrm>
            <a:off x="73959" y="809625"/>
            <a:ext cx="3335991" cy="272224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pt-BR" sz="1400" b="1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Geral de Ligações</a:t>
            </a:r>
          </a:p>
        </xdr:txBody>
      </xdr:sp>
      <xdr:graphicFrame macro="">
        <xdr:nvGraphicFramePr>
          <xdr:cNvPr id="39" name="Gráfico 38">
            <a:extLst>
              <a:ext uri="{FF2B5EF4-FFF2-40B4-BE49-F238E27FC236}">
                <a16:creationId xmlns:a16="http://schemas.microsoft.com/office/drawing/2014/main" id="{646D0FB2-6B6C-4C7A-876E-6590B33637A7}"/>
              </a:ext>
            </a:extLst>
          </xdr:cNvPr>
          <xdr:cNvGraphicFramePr>
            <a:graphicFrameLocks/>
          </xdr:cNvGraphicFramePr>
        </xdr:nvGraphicFramePr>
        <xdr:xfrm>
          <a:off x="121920" y="1318260"/>
          <a:ext cx="3223260" cy="2095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4</xdr:col>
      <xdr:colOff>208654</xdr:colOff>
      <xdr:row>21</xdr:row>
      <xdr:rowOff>60960</xdr:rowOff>
    </xdr:from>
    <xdr:to>
      <xdr:col>8</xdr:col>
      <xdr:colOff>99060</xdr:colOff>
      <xdr:row>39</xdr:row>
      <xdr:rowOff>120015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C944EDD6-5694-4F81-8F92-9A0051197574}"/>
            </a:ext>
          </a:extLst>
        </xdr:cNvPr>
        <xdr:cNvGrpSpPr/>
      </xdr:nvGrpSpPr>
      <xdr:grpSpPr>
        <a:xfrm>
          <a:off x="2579321" y="4061460"/>
          <a:ext cx="2261072" cy="3488055"/>
          <a:chOff x="63874" y="3901440"/>
          <a:chExt cx="3250826" cy="3350895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F4025CC4-6F8E-45C2-9CEB-54611BE76BE0}"/>
              </a:ext>
            </a:extLst>
          </xdr:cNvPr>
          <xdr:cNvSpPr/>
        </xdr:nvSpPr>
        <xdr:spPr>
          <a:xfrm>
            <a:off x="63874" y="3901440"/>
            <a:ext cx="3250826" cy="335089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400" b="1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2" name="MÊS">
                <a:extLst>
                  <a:ext uri="{FF2B5EF4-FFF2-40B4-BE49-F238E27FC236}">
                    <a16:creationId xmlns:a16="http://schemas.microsoft.com/office/drawing/2014/main" id="{67914155-84B7-4D5E-8127-33BF34F52C43}"/>
                  </a:ext>
                </a:extLst>
              </xdr:cNvPr>
              <xdr:cNvGraphicFramePr/>
            </xdr:nvGraphicFramePr>
            <xdr:xfrm>
              <a:off x="227030" y="4040505"/>
              <a:ext cx="2889549" cy="3068955"/>
            </xdr:xfrm>
            <a:graphic>
              <a:graphicData uri="http://schemas.microsoft.com/office/drawing/2010/slicer">
                <sle:slicer xmlns:sle="http://schemas.microsoft.com/office/drawing/2010/slicer" name="MÊ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763935" y="4040505"/>
                <a:ext cx="2069997" cy="306895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68580</xdr:colOff>
      <xdr:row>40</xdr:row>
      <xdr:rowOff>55245</xdr:rowOff>
    </xdr:from>
    <xdr:to>
      <xdr:col>23</xdr:col>
      <xdr:colOff>201084</xdr:colOff>
      <xdr:row>55</xdr:row>
      <xdr:rowOff>106680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8E7A7FA8-6B4C-4018-95A0-F4A43B2988CC}"/>
            </a:ext>
          </a:extLst>
        </xdr:cNvPr>
        <xdr:cNvGrpSpPr/>
      </xdr:nvGrpSpPr>
      <xdr:grpSpPr>
        <a:xfrm>
          <a:off x="68580" y="7675245"/>
          <a:ext cx="13763837" cy="2908935"/>
          <a:chOff x="68580" y="7370445"/>
          <a:chExt cx="13936980" cy="2634615"/>
        </a:xfrm>
      </xdr:grpSpPr>
      <xdr:sp macro="" textlink="'CONFIG - 2025'!G8">
        <xdr:nvSpPr>
          <xdr:cNvPr id="45" name="Retângulo: Cantos Arredondados 44">
            <a:extLst>
              <a:ext uri="{FF2B5EF4-FFF2-40B4-BE49-F238E27FC236}">
                <a16:creationId xmlns:a16="http://schemas.microsoft.com/office/drawing/2014/main" id="{2AA84D8D-A5F2-428A-B514-7F31720A1B27}"/>
              </a:ext>
            </a:extLst>
          </xdr:cNvPr>
          <xdr:cNvSpPr/>
        </xdr:nvSpPr>
        <xdr:spPr>
          <a:xfrm>
            <a:off x="68580" y="7370445"/>
            <a:ext cx="13936980" cy="263461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400" b="1" i="0" u="none" strike="noStrike" baseline="0">
                <a:solidFill>
                  <a:schemeClr val="accent5">
                    <a:lumMod val="50000"/>
                  </a:schemeClr>
                </a:solidFill>
                <a:effectLst/>
                <a:latin typeface="Calibri"/>
                <a:ea typeface="Calibri"/>
                <a:cs typeface="Calibri"/>
              </a:rPr>
              <a:t>MEDIA DE TEMPO</a:t>
            </a:r>
            <a:endParaRPr lang="pt-BR" sz="1400" b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graphicFrame macro="">
        <xdr:nvGraphicFramePr>
          <xdr:cNvPr id="46" name="Gráfico 45">
            <a:extLst>
              <a:ext uri="{FF2B5EF4-FFF2-40B4-BE49-F238E27FC236}">
                <a16:creationId xmlns:a16="http://schemas.microsoft.com/office/drawing/2014/main" id="{F97542C7-6681-4DF5-9C1B-7344C7EA673E}"/>
              </a:ext>
            </a:extLst>
          </xdr:cNvPr>
          <xdr:cNvGraphicFramePr>
            <a:graphicFrameLocks/>
          </xdr:cNvGraphicFramePr>
        </xdr:nvGraphicFramePr>
        <xdr:xfrm>
          <a:off x="155314" y="7772400"/>
          <a:ext cx="13674986" cy="21869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8</xdr:col>
      <xdr:colOff>236220</xdr:colOff>
      <xdr:row>21</xdr:row>
      <xdr:rowOff>47625</xdr:rowOff>
    </xdr:from>
    <xdr:to>
      <xdr:col>23</xdr:col>
      <xdr:colOff>190500</xdr:colOff>
      <xdr:row>39</xdr:row>
      <xdr:rowOff>129540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93C465D9-161D-4FA0-8A8D-B3A6936DC78A}"/>
            </a:ext>
          </a:extLst>
        </xdr:cNvPr>
        <xdr:cNvGrpSpPr/>
      </xdr:nvGrpSpPr>
      <xdr:grpSpPr>
        <a:xfrm>
          <a:off x="4977553" y="4048125"/>
          <a:ext cx="8844280" cy="3510915"/>
          <a:chOff x="2552700" y="3888105"/>
          <a:chExt cx="11508105" cy="3373755"/>
        </a:xfrm>
      </xdr:grpSpPr>
      <xdr:sp macro="" textlink="'CONFIG - 2025'!G8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D7636FD9-0518-4B37-BF41-E83A1F786653}"/>
              </a:ext>
            </a:extLst>
          </xdr:cNvPr>
          <xdr:cNvSpPr/>
        </xdr:nvSpPr>
        <xdr:spPr>
          <a:xfrm>
            <a:off x="2552700" y="3888105"/>
            <a:ext cx="11508105" cy="337375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0" i="0" u="none" strike="noStrike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t>TOP TIER</a:t>
            </a:r>
            <a:endParaRPr lang="pt-BR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graphicFrame macro="">
        <xdr:nvGraphicFramePr>
          <xdr:cNvPr id="16" name="Gráfico 15">
            <a:extLst>
              <a:ext uri="{FF2B5EF4-FFF2-40B4-BE49-F238E27FC236}">
                <a16:creationId xmlns:a16="http://schemas.microsoft.com/office/drawing/2014/main" id="{C0486453-74CA-4ADF-B5C1-FD1CA367E393}"/>
              </a:ext>
            </a:extLst>
          </xdr:cNvPr>
          <xdr:cNvGraphicFramePr>
            <a:graphicFrameLocks/>
          </xdr:cNvGraphicFramePr>
        </xdr:nvGraphicFramePr>
        <xdr:xfrm>
          <a:off x="2575560" y="4154804"/>
          <a:ext cx="11346180" cy="29622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0</xdr:col>
      <xdr:colOff>167640</xdr:colOff>
      <xdr:row>4</xdr:row>
      <xdr:rowOff>60960</xdr:rowOff>
    </xdr:from>
    <xdr:to>
      <xdr:col>3</xdr:col>
      <xdr:colOff>338667</xdr:colOff>
      <xdr:row>19</xdr:row>
      <xdr:rowOff>45720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35298F48-BF0B-4B7B-BA12-B1FF6CFA738B}"/>
            </a:ext>
          </a:extLst>
        </xdr:cNvPr>
        <xdr:cNvGrpSpPr/>
      </xdr:nvGrpSpPr>
      <xdr:grpSpPr>
        <a:xfrm>
          <a:off x="167640" y="822960"/>
          <a:ext cx="1949027" cy="2842260"/>
          <a:chOff x="182880" y="853440"/>
          <a:chExt cx="2948940" cy="2727960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9C300532-D468-4873-ACD7-508D62F6C708}"/>
              </a:ext>
            </a:extLst>
          </xdr:cNvPr>
          <xdr:cNvSpPr/>
        </xdr:nvSpPr>
        <xdr:spPr>
          <a:xfrm>
            <a:off x="182880" y="853440"/>
            <a:ext cx="2948940" cy="272796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400" b="1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0" name="ANO 1">
                <a:extLst>
                  <a:ext uri="{FF2B5EF4-FFF2-40B4-BE49-F238E27FC236}">
                    <a16:creationId xmlns:a16="http://schemas.microsoft.com/office/drawing/2014/main" id="{FD090141-05A3-4D38-96A4-22F0601A7AC3}"/>
                  </a:ext>
                </a:extLst>
              </xdr:cNvPr>
              <xdr:cNvGraphicFramePr/>
            </xdr:nvGraphicFramePr>
            <xdr:xfrm>
              <a:off x="281940" y="960120"/>
              <a:ext cx="2720340" cy="2466975"/>
            </xdr:xfrm>
            <a:graphic>
              <a:graphicData uri="http://schemas.microsoft.com/office/drawing/2010/slicer">
                <sle:slicer xmlns:sle="http://schemas.microsoft.com/office/drawing/2010/slicer" name="AN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33111" y="934110"/>
                <a:ext cx="1797940" cy="257034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7</xdr:col>
      <xdr:colOff>539750</xdr:colOff>
      <xdr:row>4</xdr:row>
      <xdr:rowOff>102870</xdr:rowOff>
    </xdr:from>
    <xdr:to>
      <xdr:col>23</xdr:col>
      <xdr:colOff>179917</xdr:colOff>
      <xdr:row>19</xdr:row>
      <xdr:rowOff>91440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08D1AFB5-354F-4635-B1A2-22114EBADEA0}"/>
            </a:ext>
          </a:extLst>
        </xdr:cNvPr>
        <xdr:cNvGrpSpPr/>
      </xdr:nvGrpSpPr>
      <xdr:grpSpPr>
        <a:xfrm>
          <a:off x="4688417" y="864870"/>
          <a:ext cx="9122833" cy="2846070"/>
          <a:chOff x="5867400" y="819150"/>
          <a:chExt cx="8191500" cy="273177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4537A6A0-B33B-4CF9-9CD9-8B71F4E28FAE}"/>
              </a:ext>
            </a:extLst>
          </xdr:cNvPr>
          <xdr:cNvSpPr/>
        </xdr:nvSpPr>
        <xdr:spPr>
          <a:xfrm>
            <a:off x="5867400" y="819150"/>
            <a:ext cx="8191500" cy="2731770"/>
          </a:xfrm>
          <a:prstGeom prst="roundRect">
            <a:avLst>
              <a:gd name="adj" fmla="val 5912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pt-BR" sz="1400" b="1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Total de</a:t>
            </a:r>
            <a:r>
              <a:rPr lang="pt-BR" sz="1400" b="1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Atendimentos Por Mês</a:t>
            </a:r>
            <a:endParaRPr lang="pt-BR" sz="1400" b="1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111EFCDA-FA4B-4D79-B20E-D2EC803BE35E}"/>
              </a:ext>
            </a:extLst>
          </xdr:cNvPr>
          <xdr:cNvGraphicFramePr>
            <a:graphicFrameLocks/>
          </xdr:cNvGraphicFramePr>
        </xdr:nvGraphicFramePr>
        <xdr:xfrm>
          <a:off x="5935980" y="1242060"/>
          <a:ext cx="8039100" cy="22326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0</xdr:col>
      <xdr:colOff>182880</xdr:colOff>
      <xdr:row>21</xdr:row>
      <xdr:rowOff>60960</xdr:rowOff>
    </xdr:from>
    <xdr:to>
      <xdr:col>4</xdr:col>
      <xdr:colOff>73286</xdr:colOff>
      <xdr:row>39</xdr:row>
      <xdr:rowOff>120015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8160D854-2369-41D2-AA5B-4FDEF419087D}"/>
            </a:ext>
          </a:extLst>
        </xdr:cNvPr>
        <xdr:cNvGrpSpPr/>
      </xdr:nvGrpSpPr>
      <xdr:grpSpPr>
        <a:xfrm>
          <a:off x="182880" y="4061460"/>
          <a:ext cx="2261073" cy="3488055"/>
          <a:chOff x="182880" y="3901440"/>
          <a:chExt cx="2328806" cy="3350895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639D805B-6D56-41D2-929E-7472234180E8}"/>
              </a:ext>
            </a:extLst>
          </xdr:cNvPr>
          <xdr:cNvSpPr/>
        </xdr:nvSpPr>
        <xdr:spPr>
          <a:xfrm>
            <a:off x="182880" y="3901440"/>
            <a:ext cx="2328806" cy="335089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400" b="1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7" name="ANO">
                <a:extLst>
                  <a:ext uri="{FF2B5EF4-FFF2-40B4-BE49-F238E27FC236}">
                    <a16:creationId xmlns:a16="http://schemas.microsoft.com/office/drawing/2014/main" id="{640C8545-D1DF-4316-A3A8-8B54215E9688}"/>
                  </a:ext>
                </a:extLst>
              </xdr:cNvPr>
              <xdr:cNvGraphicFramePr/>
            </xdr:nvGraphicFramePr>
            <xdr:xfrm>
              <a:off x="236220" y="4015740"/>
              <a:ext cx="2179320" cy="3131820"/>
            </xdr:xfrm>
            <a:graphic>
              <a:graphicData uri="http://schemas.microsoft.com/office/drawing/2010/slicer">
                <sle:slicer xmlns:sle="http://schemas.microsoft.com/office/drawing/2010/slicer" name="AN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36220" y="4015740"/>
                <a:ext cx="2179320" cy="313182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0.355</cdr:x>
      <cdr:y>0.3625</cdr:y>
    </cdr:from>
    <cdr:to>
      <cdr:x>0.64</cdr:x>
      <cdr:y>0.62083</cdr:y>
    </cdr:to>
    <cdr:sp macro="" textlink="'CONFIG - 2025'!$G$2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DC0D90AF-905C-42EE-9921-B8E4F47E9604}"/>
            </a:ext>
          </a:extLst>
        </cdr:cNvPr>
        <cdr:cNvSpPr txBox="1"/>
      </cdr:nvSpPr>
      <cdr:spPr>
        <a:xfrm xmlns:a="http://schemas.openxmlformats.org/drawingml/2006/main">
          <a:off x="1623060" y="994410"/>
          <a:ext cx="130302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D1BD54CD-98A3-4163-90F2-E729503EC580}" type="TxLink">
            <a:rPr lang="en-US" sz="1200" b="1" i="0" u="none" strike="noStrike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35159</a:t>
          </a:fld>
          <a:endParaRPr lang="pt-BR" sz="1200" b="1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Lima" refreshedDate="46238.434557060187" createdVersion="7" refreshedVersion="8" minRefreshableVersion="3" recordCount="55" xr:uid="{443D1609-CB08-4A55-BBD0-3DFB3A0BC5CC}">
  <cacheSource type="worksheet">
    <worksheetSource name="Tabela1"/>
  </cacheSource>
  <cacheFields count="5">
    <cacheField name="ANO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ês" numFmtId="0">
      <sharedItems containsBlank="1" count="14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  <s v="MARCO" u="1"/>
        <m u="1"/>
      </sharedItems>
    </cacheField>
    <cacheField name="Recebidas" numFmtId="0">
      <sharedItems containsSemiMixedTypes="0" containsString="0" containsNumber="1" containsInteger="1" minValue="0" maxValue="7827"/>
    </cacheField>
    <cacheField name="Atendidas" numFmtId="0">
      <sharedItems containsSemiMixedTypes="0" containsString="0" containsNumber="1" containsInteger="1" minValue="0" maxValue="5968"/>
    </cacheField>
    <cacheField name="Não atendidas" numFmtId="0">
      <sharedItems containsSemiMixedTypes="0" containsString="0" containsNumber="1" containsInteger="1" minValue="0" maxValue="3679"/>
    </cacheField>
  </cacheFields>
  <extLst>
    <ext xmlns:x14="http://schemas.microsoft.com/office/spreadsheetml/2009/9/main" uri="{725AE2AE-9491-48be-B2B4-4EB974FC3084}">
      <x14:pivotCacheDefinition pivotCacheId="54267358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Lima" refreshedDate="46238.434557175926" missingItemsLimit="0" createdVersion="7" refreshedVersion="8" minRefreshableVersion="3" recordCount="178" xr:uid="{E0BEF76B-618D-4960-8123-5BFD061306D8}">
  <cacheSource type="worksheet">
    <worksheetSource name="Tabela2"/>
  </cacheSource>
  <cacheFields count="6">
    <cacheField name="NOME" numFmtId="0">
      <sharedItems count="8">
        <s v="LUCIENE CRISTINA"/>
        <s v="TATIANE AMARAL"/>
        <s v="SANDRA RODRIGUES"/>
        <s v="KETLEN"/>
        <s v="THAIS PRISCILA"/>
        <s v="THIAGO PAULO"/>
        <s v="SUPORTE"/>
        <s v="LUCIANA VALENÇA"/>
      </sharedItems>
    </cacheField>
    <cacheField name="ATENDIMENTOS" numFmtId="0">
      <sharedItems containsSemiMixedTypes="0" containsString="0" containsNumber="1" containsInteger="1" minValue="0" maxValue="1831"/>
    </cacheField>
    <cacheField name="TTA" numFmtId="0">
      <sharedItems containsSemiMixedTypes="0" containsDate="1" containsString="0" containsMixedTypes="1" minDate="1899-12-31T00:00:00" maxDate="1910-03-10T13:12:00"/>
    </cacheField>
    <cacheField name="TMA" numFmtId="0">
      <sharedItems containsSemiMixedTypes="0" containsString="0" containsNumber="1" minValue="0" maxValue="243"/>
    </cacheField>
    <cacheField name="MÊS" numFmtId="0">
      <sharedItems count="13">
        <s v="FEVEREIRO"/>
        <s v="MARCO"/>
        <s v="ABRIL"/>
        <s v="MAIO"/>
        <s v="JUNHO"/>
        <s v="JULHO"/>
        <s v="AGOSTO"/>
        <s v="SETEMBRO"/>
        <s v="OUTUBRO"/>
        <s v="NOVEMBRO"/>
        <s v="DEZEMBRO"/>
        <s v="JANEIRO"/>
        <s v="MARÇO"/>
      </sharedItems>
    </cacheField>
    <cacheField name="ANO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 pivotCacheId="387124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x v="0"/>
    <n v="0"/>
    <n v="0"/>
    <n v="0"/>
  </r>
  <r>
    <x v="0"/>
    <x v="1"/>
    <n v="544"/>
    <n v="323"/>
    <n v="221"/>
  </r>
  <r>
    <x v="0"/>
    <x v="2"/>
    <n v="4728"/>
    <n v="2661"/>
    <n v="2067"/>
  </r>
  <r>
    <x v="0"/>
    <x v="3"/>
    <n v="4493"/>
    <n v="2305"/>
    <n v="2188"/>
  </r>
  <r>
    <x v="0"/>
    <x v="4"/>
    <n v="5555"/>
    <n v="2653"/>
    <n v="2902"/>
  </r>
  <r>
    <x v="0"/>
    <x v="5"/>
    <n v="4708"/>
    <n v="2436"/>
    <n v="2272"/>
  </r>
  <r>
    <x v="0"/>
    <x v="6"/>
    <n v="5023"/>
    <n v="3189"/>
    <n v="1834"/>
  </r>
  <r>
    <x v="0"/>
    <x v="7"/>
    <n v="5702"/>
    <n v="3532"/>
    <n v="2170"/>
  </r>
  <r>
    <x v="0"/>
    <x v="8"/>
    <n v="6487"/>
    <n v="3798"/>
    <n v="2689"/>
  </r>
  <r>
    <x v="0"/>
    <x v="9"/>
    <n v="6523"/>
    <n v="3855"/>
    <n v="2668"/>
  </r>
  <r>
    <x v="0"/>
    <x v="10"/>
    <n v="6733"/>
    <n v="3253"/>
    <n v="3480"/>
  </r>
  <r>
    <x v="0"/>
    <x v="11"/>
    <n v="5457"/>
    <n v="2307"/>
    <n v="3150"/>
  </r>
  <r>
    <x v="1"/>
    <x v="0"/>
    <n v="7827"/>
    <n v="4148"/>
    <n v="3679"/>
  </r>
  <r>
    <x v="1"/>
    <x v="1"/>
    <n v="5115"/>
    <n v="2736"/>
    <n v="2379"/>
  </r>
  <r>
    <x v="1"/>
    <x v="2"/>
    <n v="6569"/>
    <n v="3385"/>
    <n v="3184"/>
  </r>
  <r>
    <x v="1"/>
    <x v="3"/>
    <n v="5201"/>
    <n v="2837"/>
    <n v="2364"/>
  </r>
  <r>
    <x v="1"/>
    <x v="4"/>
    <n v="6175"/>
    <n v="3344"/>
    <n v="2831"/>
  </r>
  <r>
    <x v="1"/>
    <x v="5"/>
    <n v="5269"/>
    <n v="2905"/>
    <n v="2364"/>
  </r>
  <r>
    <x v="1"/>
    <x v="6"/>
    <n v="5278"/>
    <n v="3217"/>
    <n v="2061"/>
  </r>
  <r>
    <x v="1"/>
    <x v="7"/>
    <n v="5924"/>
    <n v="3221"/>
    <n v="2703"/>
  </r>
  <r>
    <x v="1"/>
    <x v="8"/>
    <n v="5441"/>
    <n v="2928"/>
    <n v="2513"/>
  </r>
  <r>
    <x v="1"/>
    <x v="9"/>
    <n v="5411"/>
    <n v="2362"/>
    <n v="3049"/>
  </r>
  <r>
    <x v="1"/>
    <x v="10"/>
    <n v="4906"/>
    <n v="2125"/>
    <n v="2781"/>
  </r>
  <r>
    <x v="1"/>
    <x v="11"/>
    <n v="4108"/>
    <n v="2073"/>
    <n v="2035"/>
  </r>
  <r>
    <x v="2"/>
    <x v="0"/>
    <n v="5984"/>
    <n v="3939"/>
    <n v="2045"/>
  </r>
  <r>
    <x v="2"/>
    <x v="1"/>
    <n v="4336"/>
    <n v="2935"/>
    <n v="1401"/>
  </r>
  <r>
    <x v="2"/>
    <x v="2"/>
    <n v="4949"/>
    <n v="3209"/>
    <n v="1740"/>
  </r>
  <r>
    <x v="2"/>
    <x v="3"/>
    <n v="5006"/>
    <n v="3375"/>
    <n v="1631"/>
  </r>
  <r>
    <x v="2"/>
    <x v="4"/>
    <n v="4773"/>
    <n v="3325"/>
    <n v="1448"/>
  </r>
  <r>
    <x v="2"/>
    <x v="5"/>
    <n v="3939"/>
    <n v="2748"/>
    <n v="1191"/>
  </r>
  <r>
    <x v="2"/>
    <x v="6"/>
    <n v="5007"/>
    <n v="3339"/>
    <n v="1668"/>
  </r>
  <r>
    <x v="2"/>
    <x v="7"/>
    <n v="5540"/>
    <n v="3353"/>
    <n v="2187"/>
  </r>
  <r>
    <x v="2"/>
    <x v="8"/>
    <n v="5438"/>
    <n v="3491"/>
    <n v="1947"/>
  </r>
  <r>
    <x v="2"/>
    <x v="9"/>
    <n v="6754"/>
    <n v="3378"/>
    <n v="3376"/>
  </r>
  <r>
    <x v="2"/>
    <x v="10"/>
    <n v="5683"/>
    <n v="2600"/>
    <n v="3083"/>
  </r>
  <r>
    <x v="2"/>
    <x v="11"/>
    <n v="4311"/>
    <n v="2068"/>
    <n v="2243"/>
  </r>
  <r>
    <x v="3"/>
    <x v="0"/>
    <n v="6805"/>
    <n v="5924"/>
    <n v="881"/>
  </r>
  <r>
    <x v="3"/>
    <x v="1"/>
    <n v="5010"/>
    <n v="4616"/>
    <n v="394"/>
  </r>
  <r>
    <x v="3"/>
    <x v="2"/>
    <n v="5469"/>
    <n v="4784"/>
    <n v="685"/>
  </r>
  <r>
    <x v="3"/>
    <x v="3"/>
    <n v="6167"/>
    <n v="5654"/>
    <n v="513"/>
  </r>
  <r>
    <x v="3"/>
    <x v="4"/>
    <n v="6487"/>
    <n v="5968"/>
    <n v="519"/>
  </r>
  <r>
    <x v="3"/>
    <x v="5"/>
    <n v="4421"/>
    <n v="4151"/>
    <n v="270"/>
  </r>
  <r>
    <x v="3"/>
    <x v="6"/>
    <n v="6145"/>
    <n v="5532"/>
    <n v="613"/>
  </r>
  <r>
    <x v="3"/>
    <x v="7"/>
    <n v="5614"/>
    <n v="5228"/>
    <n v="386"/>
  </r>
  <r>
    <x v="3"/>
    <x v="8"/>
    <n v="5842"/>
    <n v="5447"/>
    <n v="395"/>
  </r>
  <r>
    <x v="3"/>
    <x v="9"/>
    <n v="5343"/>
    <n v="4883"/>
    <n v="460"/>
  </r>
  <r>
    <x v="3"/>
    <x v="10"/>
    <n v="4658"/>
    <n v="4163"/>
    <n v="495"/>
  </r>
  <r>
    <x v="3"/>
    <x v="11"/>
    <n v="4139"/>
    <n v="3463"/>
    <n v="676"/>
  </r>
  <r>
    <x v="4"/>
    <x v="0"/>
    <n v="5913"/>
    <n v="5423"/>
    <n v="490"/>
  </r>
  <r>
    <x v="4"/>
    <x v="1"/>
    <n v="4254"/>
    <n v="3855"/>
    <n v="399"/>
  </r>
  <r>
    <x v="4"/>
    <x v="2"/>
    <n v="5334"/>
    <n v="4946"/>
    <n v="388"/>
  </r>
  <r>
    <x v="4"/>
    <x v="3"/>
    <n v="4729"/>
    <n v="4390"/>
    <n v="339"/>
  </r>
  <r>
    <x v="4"/>
    <x v="4"/>
    <n v="4772"/>
    <n v="4433"/>
    <n v="339"/>
  </r>
  <r>
    <x v="4"/>
    <x v="5"/>
    <n v="4112"/>
    <n v="3747"/>
    <n v="365"/>
  </r>
  <r>
    <x v="4"/>
    <x v="6"/>
    <n v="6045"/>
    <n v="5388"/>
    <n v="65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x v="0"/>
    <n v="158"/>
    <n v="448.1"/>
    <n v="2.83"/>
    <x v="0"/>
    <x v="0"/>
  </r>
  <r>
    <x v="1"/>
    <n v="165"/>
    <n v="475.83"/>
    <n v="2.88"/>
    <x v="0"/>
    <x v="0"/>
  </r>
  <r>
    <x v="0"/>
    <n v="1320"/>
    <n v="3684.42"/>
    <n v="2.78"/>
    <x v="1"/>
    <x v="0"/>
  </r>
  <r>
    <x v="1"/>
    <n v="1341"/>
    <n v="4031.93"/>
    <n v="3"/>
    <x v="1"/>
    <x v="0"/>
  </r>
  <r>
    <x v="0"/>
    <n v="1107"/>
    <n v="2976.47"/>
    <n v="2.68"/>
    <x v="2"/>
    <x v="0"/>
  </r>
  <r>
    <x v="1"/>
    <n v="1198"/>
    <n v="3615.03"/>
    <n v="3.02"/>
    <x v="2"/>
    <x v="0"/>
  </r>
  <r>
    <x v="0"/>
    <n v="1318"/>
    <n v="3660.13"/>
    <n v="2.78"/>
    <x v="3"/>
    <x v="0"/>
  </r>
  <r>
    <x v="1"/>
    <n v="1335"/>
    <n v="3830.7"/>
    <n v="2.87"/>
    <x v="3"/>
    <x v="0"/>
  </r>
  <r>
    <x v="0"/>
    <n v="1194"/>
    <n v="3233.43"/>
    <n v="2.7"/>
    <x v="4"/>
    <x v="0"/>
  </r>
  <r>
    <x v="1"/>
    <n v="1242"/>
    <n v="3508.52"/>
    <n v="2.82"/>
    <x v="4"/>
    <x v="0"/>
  </r>
  <r>
    <x v="0"/>
    <n v="1653"/>
    <n v="4193.4799999999996"/>
    <n v="2.5299999999999998"/>
    <x v="5"/>
    <x v="0"/>
  </r>
  <r>
    <x v="1"/>
    <n v="1536"/>
    <n v="4176.17"/>
    <n v="2.72"/>
    <x v="5"/>
    <x v="0"/>
  </r>
  <r>
    <x v="0"/>
    <n v="1230"/>
    <n v="2894.92"/>
    <n v="2.35"/>
    <x v="6"/>
    <x v="0"/>
  </r>
  <r>
    <x v="2"/>
    <n v="1108"/>
    <n v="2773.85"/>
    <n v="2.5"/>
    <x v="6"/>
    <x v="0"/>
  </r>
  <r>
    <x v="1"/>
    <n v="1194"/>
    <n v="3010.77"/>
    <n v="2.52"/>
    <x v="6"/>
    <x v="0"/>
  </r>
  <r>
    <x v="0"/>
    <n v="1237"/>
    <n v="3014.43"/>
    <n v="2.4300000000000002"/>
    <x v="7"/>
    <x v="0"/>
  </r>
  <r>
    <x v="2"/>
    <n v="1317"/>
    <n v="3019.77"/>
    <n v="2.2999999999999998"/>
    <x v="7"/>
    <x v="0"/>
  </r>
  <r>
    <x v="1"/>
    <n v="1244"/>
    <n v="3143.35"/>
    <n v="2.5299999999999998"/>
    <x v="7"/>
    <x v="0"/>
  </r>
  <r>
    <x v="0"/>
    <n v="1288"/>
    <n v="3035.12"/>
    <n v="2.35"/>
    <x v="8"/>
    <x v="0"/>
  </r>
  <r>
    <x v="2"/>
    <n v="1313"/>
    <n v="2893.4"/>
    <n v="2.2000000000000002"/>
    <x v="8"/>
    <x v="0"/>
  </r>
  <r>
    <x v="1"/>
    <n v="1254"/>
    <n v="3342.6"/>
    <n v="2.67"/>
    <x v="8"/>
    <x v="0"/>
  </r>
  <r>
    <x v="0"/>
    <n v="1113"/>
    <n v="2501.6999999999998"/>
    <n v="2.25"/>
    <x v="9"/>
    <x v="0"/>
  </r>
  <r>
    <x v="2"/>
    <n v="1661"/>
    <n v="4064.25"/>
    <n v="2.4500000000000002"/>
    <x v="9"/>
    <x v="0"/>
  </r>
  <r>
    <x v="1"/>
    <n v="479"/>
    <n v="1388.08"/>
    <n v="2.9"/>
    <x v="9"/>
    <x v="0"/>
  </r>
  <r>
    <x v="0"/>
    <n v="1301"/>
    <n v="2891.47"/>
    <n v="2.2200000000000002"/>
    <x v="10"/>
    <x v="0"/>
  </r>
  <r>
    <x v="2"/>
    <n v="115"/>
    <n v="311.89999999999998"/>
    <n v="2.72"/>
    <x v="10"/>
    <x v="0"/>
  </r>
  <r>
    <x v="1"/>
    <n v="891"/>
    <n v="2555.1"/>
    <n v="2.87"/>
    <x v="10"/>
    <x v="0"/>
  </r>
  <r>
    <x v="0"/>
    <n v="1235"/>
    <n v="2893.53"/>
    <n v="2.35"/>
    <x v="11"/>
    <x v="1"/>
  </r>
  <r>
    <x v="2"/>
    <n v="1453"/>
    <n v="3509.48"/>
    <n v="2.42"/>
    <x v="11"/>
    <x v="1"/>
  </r>
  <r>
    <x v="1"/>
    <n v="1460"/>
    <n v="4330.2299999999996"/>
    <n v="2.97"/>
    <x v="11"/>
    <x v="1"/>
  </r>
  <r>
    <x v="0"/>
    <n v="907"/>
    <n v="2084.2199999999998"/>
    <n v="2.2999999999999998"/>
    <x v="0"/>
    <x v="1"/>
  </r>
  <r>
    <x v="2"/>
    <n v="911"/>
    <n v="1986.28"/>
    <n v="2.1800000000000002"/>
    <x v="0"/>
    <x v="1"/>
  </r>
  <r>
    <x v="1"/>
    <n v="918"/>
    <n v="2538.38"/>
    <n v="2.77"/>
    <x v="0"/>
    <x v="1"/>
  </r>
  <r>
    <x v="0"/>
    <n v="1135"/>
    <n v="2454.2800000000002"/>
    <n v="2.17"/>
    <x v="1"/>
    <x v="1"/>
  </r>
  <r>
    <x v="2"/>
    <n v="1103"/>
    <n v="2374.12"/>
    <n v="2.15"/>
    <x v="1"/>
    <x v="1"/>
  </r>
  <r>
    <x v="1"/>
    <n v="1147"/>
    <n v="2912.62"/>
    <n v="2.5299999999999998"/>
    <x v="1"/>
    <x v="1"/>
  </r>
  <r>
    <x v="0"/>
    <n v="958"/>
    <n v="2026.58"/>
    <n v="2.12"/>
    <x v="2"/>
    <x v="1"/>
  </r>
  <r>
    <x v="2"/>
    <n v="907"/>
    <n v="1862.8"/>
    <n v="2.0499999999999998"/>
    <x v="2"/>
    <x v="1"/>
  </r>
  <r>
    <x v="1"/>
    <n v="972"/>
    <n v="2420.02"/>
    <n v="2.48"/>
    <x v="2"/>
    <x v="1"/>
  </r>
  <r>
    <x v="0"/>
    <n v="1123"/>
    <n v="2399.17"/>
    <n v="2.13"/>
    <x v="3"/>
    <x v="1"/>
  </r>
  <r>
    <x v="2"/>
    <n v="1090"/>
    <n v="2304.0500000000002"/>
    <n v="2.12"/>
    <x v="3"/>
    <x v="1"/>
  </r>
  <r>
    <x v="1"/>
    <n v="1131"/>
    <n v="2859.67"/>
    <n v="2.5299999999999998"/>
    <x v="3"/>
    <x v="1"/>
  </r>
  <r>
    <x v="0"/>
    <n v="1019"/>
    <n v="2060.75"/>
    <n v="2.02"/>
    <x v="4"/>
    <x v="1"/>
  </r>
  <r>
    <x v="2"/>
    <n v="918"/>
    <n v="1842.2"/>
    <n v="2"/>
    <x v="4"/>
    <x v="1"/>
  </r>
  <r>
    <x v="1"/>
    <n v="968"/>
    <n v="2414.65"/>
    <n v="2.5"/>
    <x v="4"/>
    <x v="1"/>
  </r>
  <r>
    <x v="0"/>
    <n v="1124"/>
    <n v="2178.0500000000002"/>
    <n v="1.93"/>
    <x v="5"/>
    <x v="1"/>
  </r>
  <r>
    <x v="2"/>
    <n v="953"/>
    <n v="1886.65"/>
    <n v="1.98"/>
    <x v="5"/>
    <x v="1"/>
  </r>
  <r>
    <x v="1"/>
    <n v="1140"/>
    <n v="2606.08"/>
    <n v="2.2799999999999998"/>
    <x v="5"/>
    <x v="1"/>
  </r>
  <r>
    <x v="0"/>
    <n v="1093"/>
    <n v="2163.67"/>
    <n v="1.98"/>
    <x v="6"/>
    <x v="1"/>
  </r>
  <r>
    <x v="2"/>
    <n v="1010"/>
    <n v="2030.38"/>
    <n v="2.02"/>
    <x v="6"/>
    <x v="1"/>
  </r>
  <r>
    <x v="1"/>
    <n v="1118"/>
    <n v="2589.65"/>
    <n v="2.3199999999999998"/>
    <x v="6"/>
    <x v="1"/>
  </r>
  <r>
    <x v="0"/>
    <n v="968"/>
    <n v="2119.85"/>
    <n v="2.1800000000000002"/>
    <x v="7"/>
    <x v="1"/>
  </r>
  <r>
    <x v="2"/>
    <n v="951"/>
    <n v="2133.4299999999998"/>
    <n v="2.25"/>
    <x v="7"/>
    <x v="1"/>
  </r>
  <r>
    <x v="1"/>
    <n v="1009"/>
    <n v="2501.1"/>
    <n v="2.48"/>
    <x v="7"/>
    <x v="1"/>
  </r>
  <r>
    <x v="0"/>
    <n v="1252"/>
    <n v="2637.32"/>
    <n v="2.1"/>
    <x v="8"/>
    <x v="1"/>
  </r>
  <r>
    <x v="1"/>
    <n v="1110"/>
    <n v="2749.43"/>
    <n v="2.48"/>
    <x v="8"/>
    <x v="1"/>
  </r>
  <r>
    <x v="0"/>
    <n v="1133"/>
    <n v="2396.3200000000002"/>
    <n v="2.12"/>
    <x v="9"/>
    <x v="1"/>
  </r>
  <r>
    <x v="2"/>
    <n v="958"/>
    <n v="2022.83"/>
    <n v="2.12"/>
    <x v="9"/>
    <x v="1"/>
  </r>
  <r>
    <x v="1"/>
    <n v="34"/>
    <n v="87.23"/>
    <n v="2.57"/>
    <x v="9"/>
    <x v="1"/>
  </r>
  <r>
    <x v="0"/>
    <n v="25"/>
    <n v="69.650000000000006"/>
    <n v="2.78"/>
    <x v="10"/>
    <x v="1"/>
  </r>
  <r>
    <x v="2"/>
    <n v="1002"/>
    <n v="2063.4299999999998"/>
    <n v="2.0699999999999998"/>
    <x v="10"/>
    <x v="1"/>
  </r>
  <r>
    <x v="1"/>
    <n v="1046"/>
    <n v="2509.6999999999998"/>
    <n v="2.4"/>
    <x v="10"/>
    <x v="1"/>
  </r>
  <r>
    <x v="0"/>
    <n v="1195"/>
    <n v="2469.6799999999998"/>
    <n v="2.0699999999999998"/>
    <x v="11"/>
    <x v="2"/>
  </r>
  <r>
    <x v="2"/>
    <n v="1331"/>
    <n v="2702.88"/>
    <n v="2.0299999999999998"/>
    <x v="11"/>
    <x v="2"/>
  </r>
  <r>
    <x v="1"/>
    <n v="1413"/>
    <n v="3559.93"/>
    <n v="2.52"/>
    <x v="11"/>
    <x v="2"/>
  </r>
  <r>
    <x v="0"/>
    <n v="983"/>
    <n v="1975.92"/>
    <n v="2.02"/>
    <x v="0"/>
    <x v="2"/>
  </r>
  <r>
    <x v="2"/>
    <n v="959"/>
    <n v="2092.7199999999998"/>
    <n v="2.1800000000000002"/>
    <x v="0"/>
    <x v="2"/>
  </r>
  <r>
    <x v="1"/>
    <n v="993"/>
    <n v="2549.7199999999998"/>
    <n v="2.57"/>
    <x v="0"/>
    <x v="2"/>
  </r>
  <r>
    <x v="0"/>
    <n v="1060"/>
    <n v="2123.5"/>
    <n v="2"/>
    <x v="1"/>
    <x v="2"/>
  </r>
  <r>
    <x v="2"/>
    <n v="1060"/>
    <n v="2448.83"/>
    <n v="2.3199999999999998"/>
    <x v="1"/>
    <x v="2"/>
  </r>
  <r>
    <x v="1"/>
    <n v="1089"/>
    <n v="2816.6"/>
    <n v="2.58"/>
    <x v="1"/>
    <x v="2"/>
  </r>
  <r>
    <x v="0"/>
    <n v="1104"/>
    <n v="2228.0300000000002"/>
    <n v="2.02"/>
    <x v="2"/>
    <x v="2"/>
  </r>
  <r>
    <x v="2"/>
    <n v="1123"/>
    <n v="2479.08"/>
    <n v="2.2000000000000002"/>
    <x v="2"/>
    <x v="2"/>
  </r>
  <r>
    <x v="1"/>
    <n v="1148"/>
    <n v="2962.95"/>
    <n v="2.58"/>
    <x v="2"/>
    <x v="2"/>
  </r>
  <r>
    <x v="0"/>
    <n v="1202"/>
    <n v="2436.13"/>
    <n v="2.0299999999999998"/>
    <x v="3"/>
    <x v="2"/>
  </r>
  <r>
    <x v="2"/>
    <n v="1049"/>
    <n v="2205.27"/>
    <n v="2.1"/>
    <x v="3"/>
    <x v="2"/>
  </r>
  <r>
    <x v="1"/>
    <n v="1074"/>
    <n v="2485.0500000000002"/>
    <n v="2.3199999999999998"/>
    <x v="3"/>
    <x v="2"/>
  </r>
  <r>
    <x v="0"/>
    <n v="1000"/>
    <n v="1819.7"/>
    <n v="1.82"/>
    <x v="4"/>
    <x v="2"/>
  </r>
  <r>
    <x v="2"/>
    <n v="857"/>
    <n v="1867.02"/>
    <n v="2.1800000000000002"/>
    <x v="4"/>
    <x v="2"/>
  </r>
  <r>
    <x v="1"/>
    <n v="891"/>
    <n v="2173.4299999999998"/>
    <n v="2.4300000000000002"/>
    <x v="4"/>
    <x v="2"/>
  </r>
  <r>
    <x v="0"/>
    <n v="1170"/>
    <n v="2221.98"/>
    <n v="1.9"/>
    <x v="5"/>
    <x v="2"/>
  </r>
  <r>
    <x v="2"/>
    <n v="1067"/>
    <n v="2412.3200000000002"/>
    <n v="2.27"/>
    <x v="5"/>
    <x v="2"/>
  </r>
  <r>
    <x v="1"/>
    <n v="1102"/>
    <n v="2537.2199999999998"/>
    <n v="2.2999999999999998"/>
    <x v="5"/>
    <x v="2"/>
  </r>
  <r>
    <x v="0"/>
    <n v="1284"/>
    <n v="3165.63"/>
    <n v="2.4700000000000002"/>
    <x v="6"/>
    <x v="2"/>
  </r>
  <r>
    <x v="2"/>
    <n v="876"/>
    <n v="2170.4699999999998"/>
    <n v="2.48"/>
    <x v="6"/>
    <x v="2"/>
  </r>
  <r>
    <x v="1"/>
    <n v="1193"/>
    <n v="3077.5"/>
    <n v="2.58"/>
    <x v="6"/>
    <x v="2"/>
  </r>
  <r>
    <x v="0"/>
    <n v="1254"/>
    <n v="3125.73"/>
    <n v="2.5"/>
    <x v="7"/>
    <x v="2"/>
  </r>
  <r>
    <x v="2"/>
    <n v="1067"/>
    <n v="2407.1"/>
    <n v="2.25"/>
    <x v="7"/>
    <x v="2"/>
  </r>
  <r>
    <x v="1"/>
    <n v="1170"/>
    <n v="3141.75"/>
    <n v="2.68"/>
    <x v="7"/>
    <x v="2"/>
  </r>
  <r>
    <x v="0"/>
    <n v="1591"/>
    <n v="3640.68"/>
    <n v="2.2799999999999998"/>
    <x v="8"/>
    <x v="2"/>
  </r>
  <r>
    <x v="1"/>
    <n v="1787"/>
    <n v="4233.6499999999996"/>
    <n v="2.37"/>
    <x v="8"/>
    <x v="2"/>
  </r>
  <r>
    <x v="0"/>
    <n v="1408"/>
    <n v="3306.53"/>
    <n v="2.35"/>
    <x v="9"/>
    <x v="2"/>
  </r>
  <r>
    <x v="2"/>
    <n v="1131"/>
    <n v="2735.42"/>
    <n v="2.42"/>
    <x v="9"/>
    <x v="2"/>
  </r>
  <r>
    <x v="1"/>
    <n v="61"/>
    <n v="129.1"/>
    <n v="2.12"/>
    <x v="9"/>
    <x v="2"/>
  </r>
  <r>
    <x v="2"/>
    <n v="1053"/>
    <n v="2425.25"/>
    <n v="2.2999999999999998"/>
    <x v="10"/>
    <x v="2"/>
  </r>
  <r>
    <x v="1"/>
    <n v="1015"/>
    <n v="2389.9"/>
    <n v="2.35"/>
    <x v="10"/>
    <x v="2"/>
  </r>
  <r>
    <x v="3"/>
    <n v="1831"/>
    <n v="1889"/>
    <n v="62"/>
    <x v="11"/>
    <x v="3"/>
  </r>
  <r>
    <x v="0"/>
    <n v="1454"/>
    <n v="2824"/>
    <n v="117"/>
    <x v="11"/>
    <x v="3"/>
  </r>
  <r>
    <x v="1"/>
    <n v="1409"/>
    <n v="3093"/>
    <n v="132"/>
    <x v="11"/>
    <x v="3"/>
  </r>
  <r>
    <x v="2"/>
    <n v="1230"/>
    <n v="2535"/>
    <n v="124"/>
    <x v="11"/>
    <x v="3"/>
  </r>
  <r>
    <x v="3"/>
    <n v="1228"/>
    <n v="1351"/>
    <n v="66"/>
    <x v="0"/>
    <x v="3"/>
  </r>
  <r>
    <x v="0"/>
    <n v="1219"/>
    <n v="2119"/>
    <n v="104"/>
    <x v="0"/>
    <x v="3"/>
  </r>
  <r>
    <x v="1"/>
    <n v="1108"/>
    <n v="2343"/>
    <n v="127"/>
    <x v="0"/>
    <x v="3"/>
  </r>
  <r>
    <x v="2"/>
    <n v="1061"/>
    <n v="2016"/>
    <n v="114"/>
    <x v="0"/>
    <x v="3"/>
  </r>
  <r>
    <x v="3"/>
    <n v="1497"/>
    <n v="1566"/>
    <n v="63"/>
    <x v="12"/>
    <x v="3"/>
  </r>
  <r>
    <x v="0"/>
    <n v="1179"/>
    <n v="2123"/>
    <n v="109"/>
    <x v="12"/>
    <x v="3"/>
  </r>
  <r>
    <x v="1"/>
    <n v="1092"/>
    <n v="2394"/>
    <n v="132"/>
    <x v="12"/>
    <x v="3"/>
  </r>
  <r>
    <x v="2"/>
    <n v="1016"/>
    <n v="2007"/>
    <n v="119"/>
    <x v="12"/>
    <x v="3"/>
  </r>
  <r>
    <x v="3"/>
    <n v="1687"/>
    <n v="1785"/>
    <n v="64"/>
    <x v="2"/>
    <x v="3"/>
  </r>
  <r>
    <x v="0"/>
    <n v="1425"/>
    <n v="2273"/>
    <n v="96"/>
    <x v="2"/>
    <x v="3"/>
  </r>
  <r>
    <x v="1"/>
    <n v="1325"/>
    <n v="2579"/>
    <n v="117"/>
    <x v="2"/>
    <x v="3"/>
  </r>
  <r>
    <x v="2"/>
    <n v="1217"/>
    <n v="2247"/>
    <n v="111"/>
    <x v="2"/>
    <x v="3"/>
  </r>
  <r>
    <x v="3"/>
    <n v="1429"/>
    <n v="1576"/>
    <n v="66"/>
    <x v="3"/>
    <x v="3"/>
  </r>
  <r>
    <x v="0"/>
    <n v="1266"/>
    <n v="2297"/>
    <n v="109"/>
    <x v="3"/>
    <x v="3"/>
  </r>
  <r>
    <x v="1"/>
    <n v="1173"/>
    <n v="2368"/>
    <n v="121"/>
    <x v="3"/>
    <x v="3"/>
  </r>
  <r>
    <x v="2"/>
    <n v="1118"/>
    <n v="2032"/>
    <n v="109"/>
    <x v="3"/>
    <x v="3"/>
  </r>
  <r>
    <x v="4"/>
    <n v="963"/>
    <n v="3001"/>
    <n v="187"/>
    <x v="3"/>
    <x v="3"/>
  </r>
  <r>
    <x v="5"/>
    <n v="19"/>
    <n v="3222"/>
    <n v="170"/>
    <x v="3"/>
    <x v="3"/>
  </r>
  <r>
    <x v="1"/>
    <n v="1027"/>
    <n v="2321"/>
    <n v="136"/>
    <x v="4"/>
    <x v="3"/>
  </r>
  <r>
    <x v="0"/>
    <n v="1137"/>
    <n v="2447"/>
    <n v="129"/>
    <x v="4"/>
    <x v="3"/>
  </r>
  <r>
    <x v="2"/>
    <n v="900"/>
    <n v="1898"/>
    <n v="127"/>
    <x v="4"/>
    <x v="3"/>
  </r>
  <r>
    <x v="4"/>
    <n v="1011"/>
    <n v="2902"/>
    <n v="172"/>
    <x v="4"/>
    <x v="3"/>
  </r>
  <r>
    <x v="5"/>
    <n v="76"/>
    <n v="308"/>
    <n v="243"/>
    <x v="4"/>
    <x v="3"/>
  </r>
  <r>
    <x v="1"/>
    <n v="1368"/>
    <n v="3222"/>
    <n v="141"/>
    <x v="5"/>
    <x v="3"/>
  </r>
  <r>
    <x v="0"/>
    <n v="1486"/>
    <n v="3058"/>
    <n v="123"/>
    <x v="5"/>
    <x v="3"/>
  </r>
  <r>
    <x v="2"/>
    <n v="1272"/>
    <n v="2661"/>
    <n v="126"/>
    <x v="5"/>
    <x v="3"/>
  </r>
  <r>
    <x v="4"/>
    <n v="1406"/>
    <n v="3331"/>
    <n v="142"/>
    <x v="5"/>
    <x v="3"/>
  </r>
  <r>
    <x v="1"/>
    <n v="1315"/>
    <n v="2924"/>
    <n v="133"/>
    <x v="6"/>
    <x v="3"/>
  </r>
  <r>
    <x v="0"/>
    <n v="1418"/>
    <n v="2911"/>
    <n v="123"/>
    <x v="6"/>
    <x v="3"/>
  </r>
  <r>
    <x v="2"/>
    <n v="1168"/>
    <n v="2438"/>
    <n v="125"/>
    <x v="6"/>
    <x v="3"/>
  </r>
  <r>
    <x v="4"/>
    <n v="1327"/>
    <n v="3183"/>
    <n v="144"/>
    <x v="6"/>
    <x v="3"/>
  </r>
  <r>
    <x v="1"/>
    <n v="1364"/>
    <n v="3223"/>
    <n v="142"/>
    <x v="7"/>
    <x v="3"/>
  </r>
  <r>
    <x v="0"/>
    <n v="1450"/>
    <n v="3142"/>
    <n v="130"/>
    <x v="7"/>
    <x v="3"/>
  </r>
  <r>
    <x v="2"/>
    <n v="1294"/>
    <n v="2711"/>
    <n v="126"/>
    <x v="7"/>
    <x v="3"/>
  </r>
  <r>
    <x v="4"/>
    <n v="1339"/>
    <n v="3406"/>
    <n v="153"/>
    <x v="7"/>
    <x v="3"/>
  </r>
  <r>
    <x v="1"/>
    <n v="1546"/>
    <n v="3674"/>
    <n v="2"/>
    <x v="8"/>
    <x v="3"/>
  </r>
  <r>
    <x v="0"/>
    <n v="1672"/>
    <n v="3615"/>
    <n v="2"/>
    <x v="8"/>
    <x v="3"/>
  </r>
  <r>
    <x v="4"/>
    <n v="1662"/>
    <n v="4055"/>
    <n v="2"/>
    <x v="8"/>
    <x v="3"/>
  </r>
  <r>
    <x v="0"/>
    <n v="1455"/>
    <n v="2994"/>
    <n v="123"/>
    <x v="9"/>
    <x v="3"/>
  </r>
  <r>
    <x v="2"/>
    <n v="1324"/>
    <n v="2984"/>
    <n v="135"/>
    <x v="9"/>
    <x v="3"/>
  </r>
  <r>
    <x v="4"/>
    <n v="1384"/>
    <n v="3194"/>
    <n v="139"/>
    <x v="9"/>
    <x v="3"/>
  </r>
  <r>
    <x v="1"/>
    <n v="1018"/>
    <n v="2616"/>
    <n v="154"/>
    <x v="10"/>
    <x v="3"/>
  </r>
  <r>
    <x v="2"/>
    <n v="1089"/>
    <n v="2494"/>
    <n v="137"/>
    <x v="10"/>
    <x v="3"/>
  </r>
  <r>
    <x v="4"/>
    <n v="1356"/>
    <n v="3236"/>
    <n v="143"/>
    <x v="10"/>
    <x v="3"/>
  </r>
  <r>
    <x v="1"/>
    <n v="1342"/>
    <n v="3648"/>
    <n v="2.72"/>
    <x v="11"/>
    <x v="4"/>
  </r>
  <r>
    <x v="0"/>
    <n v="1378"/>
    <n v="3032"/>
    <n v="2.2000000000000002"/>
    <x v="11"/>
    <x v="4"/>
  </r>
  <r>
    <x v="2"/>
    <n v="1380"/>
    <n v="3317"/>
    <n v="2.4"/>
    <x v="11"/>
    <x v="4"/>
  </r>
  <r>
    <x v="4"/>
    <n v="1323"/>
    <n v="3302"/>
    <n v="2.5"/>
    <x v="11"/>
    <x v="4"/>
  </r>
  <r>
    <x v="1"/>
    <n v="961"/>
    <n v="2534.52"/>
    <n v="2.63"/>
    <x v="0"/>
    <x v="4"/>
  </r>
  <r>
    <x v="0"/>
    <n v="1006"/>
    <n v="2312.9699999999998"/>
    <n v="2.2999999999999998"/>
    <x v="0"/>
    <x v="4"/>
  </r>
  <r>
    <x v="2"/>
    <n v="919"/>
    <n v="2193.88"/>
    <n v="2.38"/>
    <x v="0"/>
    <x v="4"/>
  </r>
  <r>
    <x v="4"/>
    <n v="969"/>
    <n v="2342.73"/>
    <n v="2.42"/>
    <x v="0"/>
    <x v="4"/>
  </r>
  <r>
    <x v="6"/>
    <n v="0"/>
    <n v="0"/>
    <n v="0"/>
    <x v="12"/>
    <x v="4"/>
  </r>
  <r>
    <x v="6"/>
    <n v="0"/>
    <n v="0"/>
    <n v="0"/>
    <x v="12"/>
    <x v="4"/>
  </r>
  <r>
    <x v="1"/>
    <n v="1245"/>
    <n v="3261"/>
    <n v="2.62"/>
    <x v="12"/>
    <x v="4"/>
  </r>
  <r>
    <x v="0"/>
    <n v="1322"/>
    <n v="2878"/>
    <n v="2.1800000000000002"/>
    <x v="12"/>
    <x v="4"/>
  </r>
  <r>
    <x v="2"/>
    <n v="1203"/>
    <n v="2994"/>
    <n v="2.48"/>
    <x v="12"/>
    <x v="4"/>
  </r>
  <r>
    <x v="4"/>
    <n v="1176"/>
    <n v="2906"/>
    <n v="2.4700000000000002"/>
    <x v="12"/>
    <x v="4"/>
  </r>
  <r>
    <x v="6"/>
    <n v="0"/>
    <n v="0"/>
    <n v="0"/>
    <x v="2"/>
    <x v="4"/>
  </r>
  <r>
    <x v="6"/>
    <n v="0"/>
    <n v="0"/>
    <n v="0"/>
    <x v="2"/>
    <x v="4"/>
  </r>
  <r>
    <x v="1"/>
    <n v="1071"/>
    <n v="3092"/>
    <n v="2.88"/>
    <x v="2"/>
    <x v="4"/>
  </r>
  <r>
    <x v="0"/>
    <n v="1224"/>
    <n v="2851"/>
    <n v="2.33"/>
    <x v="2"/>
    <x v="4"/>
  </r>
  <r>
    <x v="2"/>
    <n v="1025"/>
    <n v="2638"/>
    <n v="2.57"/>
    <x v="2"/>
    <x v="4"/>
  </r>
  <r>
    <x v="4"/>
    <n v="1070"/>
    <n v="2928"/>
    <n v="2.73"/>
    <x v="2"/>
    <x v="4"/>
  </r>
  <r>
    <x v="0"/>
    <n v="1238"/>
    <n v="2921.48"/>
    <n v="2.37"/>
    <x v="3"/>
    <x v="4"/>
  </r>
  <r>
    <x v="2"/>
    <n v="1023"/>
    <n v="2644.5"/>
    <n v="2.58"/>
    <x v="3"/>
    <x v="4"/>
  </r>
  <r>
    <x v="6"/>
    <n v="4"/>
    <n v="1.08"/>
    <n v="0.27"/>
    <x v="3"/>
    <x v="4"/>
  </r>
  <r>
    <x v="1"/>
    <n v="1108"/>
    <n v="3119.33"/>
    <n v="2.82"/>
    <x v="3"/>
    <x v="4"/>
  </r>
  <r>
    <x v="4"/>
    <n v="1060"/>
    <n v="3052.43"/>
    <n v="2.88"/>
    <x v="3"/>
    <x v="4"/>
  </r>
  <r>
    <x v="0"/>
    <n v="1078"/>
    <d v="1906-11-23T07:40:48"/>
    <n v="2.33"/>
    <x v="4"/>
    <x v="4"/>
  </r>
  <r>
    <x v="2"/>
    <n v="893"/>
    <d v="1905-12-28T21:07:12"/>
    <n v="2.4500000000000002"/>
    <x v="4"/>
    <x v="4"/>
  </r>
  <r>
    <x v="1"/>
    <n v="918"/>
    <d v="1907-01-21T19:55:12"/>
    <n v="2.82"/>
    <x v="4"/>
    <x v="4"/>
  </r>
  <r>
    <x v="4"/>
    <n v="858"/>
    <d v="1906-03-03T22:04:48"/>
    <n v="2.63"/>
    <x v="4"/>
    <x v="4"/>
  </r>
  <r>
    <x v="7"/>
    <n v="89"/>
    <d v="1900-11-10T04:19:12"/>
    <n v="3.53"/>
    <x v="5"/>
    <x v="4"/>
  </r>
  <r>
    <x v="0"/>
    <n v="1413"/>
    <d v="1909-05-25T13:40:48"/>
    <n v="2.4300000000000002"/>
    <x v="5"/>
    <x v="4"/>
  </r>
  <r>
    <x v="2"/>
    <n v="1290"/>
    <d v="1909-01-09T20:24:00"/>
    <n v="2.5499999999999998"/>
    <x v="5"/>
    <x v="4"/>
  </r>
  <r>
    <x v="1"/>
    <n v="1374"/>
    <d v="1910-03-10T13:12:00"/>
    <n v="2.72"/>
    <x v="5"/>
    <x v="4"/>
  </r>
  <r>
    <x v="4"/>
    <n v="1222"/>
    <d v="1908-11-08T12:43:12"/>
    <n v="2.65"/>
    <x v="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9B6D3-38F7-4D7E-A880-6C67E7300A64}" name="Tabela dinâ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5">
  <location ref="L1:N7" firstHeaderRow="0" firstDataRow="1" firstDataCol="1"/>
  <pivotFields count="6">
    <pivotField axis="axisRow" showAll="0">
      <items count="9">
        <item x="3"/>
        <item x="5"/>
        <item x="1"/>
        <item x="0"/>
        <item x="2"/>
        <item x="4"/>
        <item x="6"/>
        <item x="7"/>
        <item t="default"/>
      </items>
    </pivotField>
    <pivotField showAll="0"/>
    <pivotField dataField="1" showAll="0"/>
    <pivotField dataField="1" showAll="0"/>
    <pivotField showAll="0">
      <items count="14">
        <item h="1" x="11"/>
        <item h="1" x="0"/>
        <item h="1" x="1"/>
        <item h="1" x="12"/>
        <item h="1" x="2"/>
        <item h="1" x="3"/>
        <item h="1" x="4"/>
        <item x="5"/>
        <item h="1" x="6"/>
        <item h="1" x="7"/>
        <item h="1" x="8"/>
        <item h="1" x="9"/>
        <item h="1" x="10"/>
        <item t="default"/>
      </items>
    </pivotField>
    <pivotField showAll="0">
      <items count="6">
        <item h="1" x="0"/>
        <item h="1" x="1"/>
        <item h="1" x="2"/>
        <item h="1" x="3"/>
        <item x="4"/>
        <item t="default"/>
      </items>
    </pivotField>
  </pivotFields>
  <rowFields count="1">
    <field x="0"/>
  </rowFields>
  <rowItems count="6">
    <i>
      <x v="2"/>
    </i>
    <i>
      <x v="3"/>
    </i>
    <i>
      <x v="4"/>
    </i>
    <i>
      <x v="5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TA" fld="2" baseField="0" baseItem="0"/>
    <dataField name="Soma de TMA" fld="3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F7884-2F6B-4A90-BE39-4F8662D8F1DE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5">
  <location ref="A57:D65" firstHeaderRow="0" firstDataRow="1" firstDataCol="1"/>
  <pivotFields count="5">
    <pivotField showAll="0">
      <items count="6">
        <item h="1" x="0"/>
        <item h="1" x="1"/>
        <item h="1" x="2"/>
        <item h="1" x="3"/>
        <item x="4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3"/>
        <item m="1" x="12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Recebidas" fld="2" baseField="0" baseItem="0"/>
    <dataField name="Soma de Atendidas" fld="3" baseField="0" baseItem="0"/>
    <dataField name="Soma de Não atendidas" fld="4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39D70-4ECD-4291-A074-B446D155E8AA}" name="Tabela dinâ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I1:J7" firstHeaderRow="1" firstDataRow="1" firstDataCol="1"/>
  <pivotFields count="6">
    <pivotField axis="axisRow" showAll="0">
      <items count="9">
        <item x="3"/>
        <item x="5"/>
        <item x="1"/>
        <item x="0"/>
        <item x="2"/>
        <item x="4"/>
        <item x="6"/>
        <item x="7"/>
        <item t="default"/>
      </items>
    </pivotField>
    <pivotField dataField="1" showAll="0"/>
    <pivotField showAll="0"/>
    <pivotField showAll="0"/>
    <pivotField showAll="0">
      <items count="14">
        <item h="1" x="11"/>
        <item h="1" x="0"/>
        <item h="1" x="1"/>
        <item h="1" x="12"/>
        <item h="1" x="2"/>
        <item h="1" x="3"/>
        <item h="1" x="4"/>
        <item x="5"/>
        <item h="1" x="6"/>
        <item h="1" x="7"/>
        <item h="1" x="8"/>
        <item h="1" x="9"/>
        <item h="1" x="10"/>
        <item t="default"/>
      </items>
    </pivotField>
    <pivotField showAll="0">
      <items count="6">
        <item h="1" x="0"/>
        <item h="1" x="1"/>
        <item h="1" x="2"/>
        <item h="1" x="3"/>
        <item x="4"/>
        <item t="default"/>
      </items>
    </pivotField>
  </pivotFields>
  <rowFields count="1">
    <field x="0"/>
  </rowFields>
  <rowItems count="6"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Soma de ATENDIMENTO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52D71-BED3-4BD5-811C-B8B9220C8479}" name="Tabela dinâ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G4:G5" firstHeaderRow="1" firstDataRow="1" firstDataCol="0"/>
  <pivotFields count="6">
    <pivotField showAll="0"/>
    <pivotField dataField="1" showAll="0"/>
    <pivotField showAll="0"/>
    <pivotField showAll="0"/>
    <pivotField showAll="0">
      <items count="14">
        <item h="1" x="11"/>
        <item h="1" x="0"/>
        <item h="1" x="1"/>
        <item h="1" x="12"/>
        <item h="1" x="2"/>
        <item h="1" x="3"/>
        <item h="1" x="4"/>
        <item x="5"/>
        <item h="1" x="6"/>
        <item h="1" x="7"/>
        <item h="1" x="8"/>
        <item h="1" x="9"/>
        <item h="1" x="10"/>
        <item t="default"/>
      </items>
    </pivotField>
    <pivotField showAll="0"/>
  </pivotFields>
  <rowItems count="1">
    <i/>
  </rowItems>
  <colItems count="1">
    <i/>
  </colItems>
  <dataFields count="1">
    <dataField name="Soma de ATENDIMENTO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DBE20-E210-49DD-9992-1D35D7992B7B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3">
  <location ref="G12:I18" firstHeaderRow="0" firstDataRow="1" firstDataCol="1"/>
  <pivotFields count="6">
    <pivotField axis="axisRow" showAll="0" sortType="ascending">
      <items count="9">
        <item x="5"/>
        <item x="4"/>
        <item x="1"/>
        <item x="2"/>
        <item x="0"/>
        <item x="3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>
      <items count="14">
        <item h="1" x="11"/>
        <item h="1" x="0"/>
        <item h="1" x="1"/>
        <item h="1" x="12"/>
        <item h="1" x="2"/>
        <item h="1" x="3"/>
        <item h="1" x="4"/>
        <item x="5"/>
        <item h="1" x="6"/>
        <item h="1" x="7"/>
        <item h="1" x="8"/>
        <item h="1" x="9"/>
        <item h="1" x="10"/>
        <item t="default"/>
      </items>
    </pivotField>
    <pivotField showAll="0">
      <items count="6">
        <item h="1" x="0"/>
        <item h="1" x="1"/>
        <item h="1" x="2"/>
        <item h="1" x="3"/>
        <item x="4"/>
        <item t="default"/>
      </items>
    </pivotField>
  </pivotFields>
  <rowFields count="1">
    <field x="0"/>
  </rowFields>
  <rowItems count="6">
    <i>
      <x v="7"/>
    </i>
    <i>
      <x v="1"/>
    </i>
    <i>
      <x v="3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ATENDIMENTOS" fld="1" baseField="0" baseItem="0"/>
    <dataField name="% do Total Mensal" fld="1" showDataAs="percentOfTotal" baseField="0" baseItem="1" numFmtId="1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A4C38-C593-4067-A46D-19E7FB8CF16B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G7:G9" firstHeaderRow="1" firstDataRow="1" firstDataCol="1"/>
  <pivotFields count="6">
    <pivotField showAll="0"/>
    <pivotField showAll="0"/>
    <pivotField showAll="0"/>
    <pivotField showAll="0"/>
    <pivotField axis="axisRow" showAll="0">
      <items count="14">
        <item h="1" x="11"/>
        <item h="1" x="0"/>
        <item h="1" x="12"/>
        <item h="1" x="2"/>
        <item h="1" x="3"/>
        <item h="1" x="4"/>
        <item x="5"/>
        <item h="1" x="6"/>
        <item h="1" x="7"/>
        <item h="1" x="8"/>
        <item h="1" x="9"/>
        <item h="1" x="10"/>
        <item h="1" x="1"/>
        <item t="default"/>
      </items>
    </pivotField>
    <pivotField showAll="0">
      <items count="6">
        <item h="1" x="0"/>
        <item h="1" x="1"/>
        <item h="1" x="2"/>
        <item h="1" x="3"/>
        <item x="4"/>
        <item t="default"/>
      </items>
    </pivotField>
  </pivotFields>
  <rowFields count="1">
    <field x="4"/>
  </rowFields>
  <rowItems count="2"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73DB7-2F90-41C1-8DEC-F19B253E7EC9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1">
  <location ref="G1:G2" firstHeaderRow="1" firstDataRow="1" firstDataCol="0"/>
  <pivotFields count="5">
    <pivotField showAll="0">
      <items count="6">
        <item h="1" x="0"/>
        <item h="1" x="1"/>
        <item h="1" x="2"/>
        <item h="1" x="3"/>
        <item x="4"/>
        <item t="default"/>
      </items>
    </pivotField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Total de Recebidas" fld="2" baseField="0" baseItem="9"/>
  </dataFields>
  <chartFormats count="2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939C751E-300C-47EE-BBA6-CF255DEFAAD3}" sourceName="MÊS">
  <pivotTables>
    <pivotTable tabId="8" name="Tabela dinâmica9"/>
    <pivotTable tabId="8" name="Tabela dinâmica10"/>
    <pivotTable tabId="8" name="Tabela dinâmica11"/>
    <pivotTable tabId="8" name="Tabela dinâmica12"/>
    <pivotTable tabId="8" name="Tabela dinâmica1"/>
  </pivotTables>
  <data>
    <tabular pivotCacheId="38712482">
      <items count="13">
        <i x="11"/>
        <i x="0"/>
        <i x="1"/>
        <i x="12"/>
        <i x="2"/>
        <i x="3"/>
        <i x="4"/>
        <i x="5" s="1"/>
        <i x="6"/>
        <i x="7"/>
        <i x="8"/>
        <i x="9"/>
        <i x="1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521DC342-91EE-4E27-8E23-4FA0ED0871BD}" sourceName="ANO">
  <pivotTables>
    <pivotTable tabId="8" name="Tabela dinâmica7"/>
    <pivotTable tabId="8" name="Tabela dinâmica2"/>
  </pivotTables>
  <data>
    <tabular pivotCacheId="542673585">
      <items count="5">
        <i x="0"/>
        <i x="1"/>
        <i x="2"/>
        <i x="3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A0C670E8-FB57-4382-A4A4-1C792F7205A9}" sourceName="ANO">
  <pivotTables>
    <pivotTable tabId="8" name="Tabela dinâmica9"/>
    <pivotTable tabId="8" name="Tabela dinâmica10"/>
    <pivotTable tabId="8" name="Tabela dinâmica12"/>
    <pivotTable tabId="8" name="Tabela dinâmica1"/>
  </pivotTables>
  <data>
    <tabular pivotCacheId="38712482">
      <items count="5">
        <i x="0"/>
        <i x="1"/>
        <i x="2"/>
        <i x="3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EDC1E46E-B9E1-48E4-81E1-585E70403674}" cache="SegmentaçãodeDados_MÊS" caption="MÊS" style="Solb" rowHeight="234950"/>
  <slicer name="ANO 1" xr10:uid="{724BDFB7-A2D8-4F4E-A73A-AD1B02CFA3ED}" cache="SegmentaçãodeDados_ANO1" caption="ANO" style="Solb" rowHeight="234950"/>
  <slicer name="ANO" xr10:uid="{6ED7FBC5-12CB-4946-B9F1-9A25C8300B50}" cache="SegmentaçãodeDados_ANO" caption="ANO" style="Solb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51270-0B4E-4B12-A87A-2B17C3AEE9C4}" name="Tabela1" displayName="Tabela1" ref="A1:E56" totalsRowShown="0" headerRowDxfId="19" headerRowBorderDxfId="18" tableBorderDxfId="17" totalsRowBorderDxfId="16">
  <autoFilter ref="A1:E56" xr:uid="{A2051270-0B4E-4B12-A87A-2B17C3AEE9C4}"/>
  <sortState xmlns:xlrd2="http://schemas.microsoft.com/office/spreadsheetml/2017/richdata2" ref="A2:E53">
    <sortCondition ref="A1:A53"/>
  </sortState>
  <tableColumns count="5">
    <tableColumn id="5" xr3:uid="{C759CE3E-289D-48CB-A5FF-787E6D300DAC}" name="ANO" dataDxfId="15"/>
    <tableColumn id="1" xr3:uid="{9D8F46D3-E047-4783-9018-897A287713D6}" name="Mês" dataDxfId="14"/>
    <tableColumn id="2" xr3:uid="{7E55E947-504B-434E-8F7C-7D0ECDAD2C81}" name="Recebidas" dataDxfId="13"/>
    <tableColumn id="3" xr3:uid="{AC01B808-130F-45CC-8508-93F8E069B938}" name="Atendidas" dataDxfId="12"/>
    <tableColumn id="4" xr3:uid="{5A53114A-6704-47F0-8D4B-C4FC5DC571DF}" name="Não atendidas" dataDxfId="11">
      <calculatedColumnFormula>Tabela1[[#This Row],[Recebidas]]-Tabela1[[#This Row],[Atendidas]]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106345-EECE-4044-A911-074482733A10}" name="Tabela2" displayName="Tabela2" ref="G21:L199" totalsRowShown="0" headerRowDxfId="10" dataDxfId="8" headerRowBorderDxfId="9" tableBorderDxfId="7" totalsRowBorderDxfId="6">
  <autoFilter ref="G21:L199" xr:uid="{52106345-EECE-4044-A911-074482733A10}"/>
  <sortState xmlns:xlrd2="http://schemas.microsoft.com/office/spreadsheetml/2017/richdata2" ref="G22:L185">
    <sortCondition ref="L21:L185"/>
  </sortState>
  <tableColumns count="6">
    <tableColumn id="1" xr3:uid="{E5EED7D2-44BB-4F0B-8B0E-99616545A2C1}" name="NOME" dataDxfId="5"/>
    <tableColumn id="2" xr3:uid="{D8597F3C-C593-462C-8A3C-EE4A360AC0E6}" name="ATENDIMENTOS" dataDxfId="4"/>
    <tableColumn id="3" xr3:uid="{D72C89F0-40A5-4951-B6B4-F07098F1D3B1}" name="TTA" dataDxfId="3"/>
    <tableColumn id="4" xr3:uid="{1DC710AD-2E5F-43DA-8B96-049D7BC31648}" name="TMA" dataDxfId="2"/>
    <tableColumn id="5" xr3:uid="{67C0AA3D-660D-4B46-A477-60D52ADDC6B9}" name="MÊS" dataDxfId="1"/>
    <tableColumn id="6" xr3:uid="{80780CEF-25C8-454B-BB71-32A089B2EC12}" name="AN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FAB1-B157-490A-AD87-C063D7804990}">
  <dimension ref="A1:A76"/>
  <sheetViews>
    <sheetView tabSelected="1" topLeftCell="A22" zoomScale="90" zoomScaleNormal="90" workbookViewId="0">
      <selection activeCell="J21" sqref="J21"/>
    </sheetView>
  </sheetViews>
  <sheetFormatPr defaultColWidth="8.85546875" defaultRowHeight="15" x14ac:dyDescent="0.25"/>
  <cols>
    <col min="1" max="16384" width="8.85546875" style="11"/>
  </cols>
  <sheetData>
    <row r="1" s="27" customFormat="1" x14ac:dyDescent="0.25"/>
    <row r="2" s="27" customFormat="1" x14ac:dyDescent="0.25"/>
    <row r="3" s="27" customFormat="1" x14ac:dyDescent="0.25"/>
    <row r="4" s="10" customFormat="1" x14ac:dyDescent="0.25"/>
    <row r="21" s="10" customFormat="1" x14ac:dyDescent="0.25"/>
    <row r="57" s="10" customFormat="1" x14ac:dyDescent="0.25"/>
    <row r="76" s="10" customFormat="1" x14ac:dyDescent="0.25"/>
  </sheetData>
  <mergeCells count="1">
    <mergeCell ref="A1:XFD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7295-1AF3-428F-9EEC-CD4F7DFE3A2B}">
  <dimension ref="A1:O199"/>
  <sheetViews>
    <sheetView topLeftCell="A46" workbookViewId="0">
      <selection activeCell="F59" sqref="F59"/>
    </sheetView>
  </sheetViews>
  <sheetFormatPr defaultRowHeight="15" x14ac:dyDescent="0.25"/>
  <cols>
    <col min="1" max="1" width="18.28515625" bestFit="1" customWidth="1"/>
    <col min="2" max="2" width="17.140625" bestFit="1" customWidth="1"/>
    <col min="3" max="3" width="11.7109375" bestFit="1" customWidth="1"/>
    <col min="4" max="4" width="15.42578125" bestFit="1" customWidth="1"/>
    <col min="5" max="5" width="11" bestFit="1" customWidth="1"/>
    <col min="6" max="6" width="17.28515625" bestFit="1" customWidth="1"/>
    <col min="7" max="7" width="17.85546875" bestFit="1" customWidth="1"/>
    <col min="8" max="8" width="23.7109375" bestFit="1" customWidth="1"/>
    <col min="9" max="9" width="17.42578125" bestFit="1" customWidth="1"/>
    <col min="10" max="10" width="23.7109375" bestFit="1" customWidth="1"/>
    <col min="11" max="11" width="18" bestFit="1" customWidth="1"/>
    <col min="12" max="12" width="19.28515625" bestFit="1" customWidth="1"/>
    <col min="13" max="13" width="12.28515625" bestFit="1" customWidth="1"/>
    <col min="14" max="14" width="13.28515625" bestFit="1" customWidth="1"/>
  </cols>
  <sheetData>
    <row r="1" spans="1:14" x14ac:dyDescent="0.25">
      <c r="A1" s="5" t="s">
        <v>34</v>
      </c>
      <c r="B1" s="4" t="s">
        <v>20</v>
      </c>
      <c r="C1" s="5" t="s">
        <v>18</v>
      </c>
      <c r="D1" s="5" t="s">
        <v>10</v>
      </c>
      <c r="E1" s="6" t="s">
        <v>11</v>
      </c>
      <c r="G1" t="s">
        <v>23</v>
      </c>
      <c r="I1" s="8" t="s">
        <v>21</v>
      </c>
      <c r="J1" t="s">
        <v>25</v>
      </c>
      <c r="L1" s="8" t="s">
        <v>21</v>
      </c>
      <c r="M1" t="s">
        <v>26</v>
      </c>
      <c r="N1" t="s">
        <v>27</v>
      </c>
    </row>
    <row r="2" spans="1:14" x14ac:dyDescent="0.25">
      <c r="A2" s="4">
        <v>2022</v>
      </c>
      <c r="B2" s="2" t="s">
        <v>9</v>
      </c>
      <c r="C2" s="1">
        <v>0</v>
      </c>
      <c r="D2" s="1">
        <v>0</v>
      </c>
      <c r="E2" s="3">
        <v>0</v>
      </c>
      <c r="G2" s="28">
        <v>35159</v>
      </c>
      <c r="I2" s="9" t="s">
        <v>29</v>
      </c>
      <c r="J2" s="28">
        <v>1374</v>
      </c>
      <c r="L2" s="9" t="s">
        <v>29</v>
      </c>
      <c r="M2" s="28">
        <v>3722.55</v>
      </c>
      <c r="N2" s="28">
        <v>2.72</v>
      </c>
    </row>
    <row r="3" spans="1:14" x14ac:dyDescent="0.25">
      <c r="A3" s="4">
        <v>2022</v>
      </c>
      <c r="B3" s="2" t="s">
        <v>8</v>
      </c>
      <c r="C3" s="1">
        <v>544</v>
      </c>
      <c r="D3" s="1">
        <v>323</v>
      </c>
      <c r="E3" s="3">
        <v>221</v>
      </c>
      <c r="I3" s="9" t="s">
        <v>30</v>
      </c>
      <c r="J3" s="28">
        <v>1413</v>
      </c>
      <c r="L3" s="9" t="s">
        <v>30</v>
      </c>
      <c r="M3" s="28">
        <v>3433.57</v>
      </c>
      <c r="N3" s="28">
        <v>2.4300000000000002</v>
      </c>
    </row>
    <row r="4" spans="1:14" x14ac:dyDescent="0.25">
      <c r="A4" s="4">
        <v>2022</v>
      </c>
      <c r="B4" t="s">
        <v>7</v>
      </c>
      <c r="C4" s="1">
        <v>4728</v>
      </c>
      <c r="D4" s="1">
        <v>2661</v>
      </c>
      <c r="E4" s="3">
        <v>2067</v>
      </c>
      <c r="G4" t="s">
        <v>25</v>
      </c>
      <c r="I4" s="9" t="s">
        <v>31</v>
      </c>
      <c r="J4" s="28">
        <v>1290</v>
      </c>
      <c r="L4" s="9" t="s">
        <v>31</v>
      </c>
      <c r="M4" s="28">
        <v>3297.85</v>
      </c>
      <c r="N4" s="28">
        <v>2.5499999999999998</v>
      </c>
    </row>
    <row r="5" spans="1:14" x14ac:dyDescent="0.25">
      <c r="A5" s="4">
        <v>2022</v>
      </c>
      <c r="B5" s="2" t="s">
        <v>6</v>
      </c>
      <c r="C5" s="1">
        <v>4493</v>
      </c>
      <c r="D5" s="1">
        <v>2305</v>
      </c>
      <c r="E5" s="3">
        <v>2188</v>
      </c>
      <c r="G5" s="28">
        <v>20665</v>
      </c>
      <c r="I5" s="9" t="s">
        <v>32</v>
      </c>
      <c r="J5" s="28">
        <v>1222</v>
      </c>
      <c r="L5" s="9" t="s">
        <v>32</v>
      </c>
      <c r="M5" s="28">
        <v>3235.53</v>
      </c>
      <c r="N5" s="28">
        <v>2.65</v>
      </c>
    </row>
    <row r="6" spans="1:14" x14ac:dyDescent="0.25">
      <c r="A6" s="4">
        <v>2022</v>
      </c>
      <c r="B6" s="2" t="s">
        <v>5</v>
      </c>
      <c r="C6" s="1">
        <v>5555</v>
      </c>
      <c r="D6" s="1">
        <v>2653</v>
      </c>
      <c r="E6" s="3">
        <v>2902</v>
      </c>
      <c r="I6" s="9" t="s">
        <v>40</v>
      </c>
      <c r="J6" s="28">
        <v>89</v>
      </c>
      <c r="L6" s="9" t="s">
        <v>40</v>
      </c>
      <c r="M6" s="28">
        <v>315.18</v>
      </c>
      <c r="N6" s="28">
        <v>3.53</v>
      </c>
    </row>
    <row r="7" spans="1:14" x14ac:dyDescent="0.25">
      <c r="A7" s="4">
        <v>2022</v>
      </c>
      <c r="B7" s="2" t="s">
        <v>4</v>
      </c>
      <c r="C7" s="1">
        <v>4708</v>
      </c>
      <c r="D7" s="1">
        <v>2436</v>
      </c>
      <c r="E7" s="3">
        <v>2272</v>
      </c>
      <c r="G7" s="8" t="s">
        <v>21</v>
      </c>
      <c r="I7" s="9" t="s">
        <v>22</v>
      </c>
      <c r="J7" s="28">
        <v>5388</v>
      </c>
      <c r="L7" s="9" t="s">
        <v>22</v>
      </c>
      <c r="M7" s="28">
        <v>14004.680000000002</v>
      </c>
      <c r="N7" s="28">
        <v>13.879999999999999</v>
      </c>
    </row>
    <row r="8" spans="1:14" x14ac:dyDescent="0.25">
      <c r="A8" s="4">
        <v>2022</v>
      </c>
      <c r="B8" s="2" t="s">
        <v>2</v>
      </c>
      <c r="C8" s="1">
        <v>5023</v>
      </c>
      <c r="D8" s="1">
        <v>3189</v>
      </c>
      <c r="E8" s="3">
        <v>1834</v>
      </c>
      <c r="G8" s="9" t="s">
        <v>2</v>
      </c>
    </row>
    <row r="9" spans="1:14" x14ac:dyDescent="0.25">
      <c r="A9" s="4">
        <v>2022</v>
      </c>
      <c r="B9" s="2" t="s">
        <v>3</v>
      </c>
      <c r="C9" s="1">
        <v>5702</v>
      </c>
      <c r="D9" s="1">
        <v>3532</v>
      </c>
      <c r="E9" s="3">
        <v>2170</v>
      </c>
      <c r="G9" s="9" t="s">
        <v>22</v>
      </c>
    </row>
    <row r="10" spans="1:14" x14ac:dyDescent="0.25">
      <c r="A10" s="4">
        <v>2022</v>
      </c>
      <c r="B10" s="2" t="s">
        <v>15</v>
      </c>
      <c r="C10" s="1">
        <v>6487</v>
      </c>
      <c r="D10" s="1">
        <v>3798</v>
      </c>
      <c r="E10" s="3">
        <v>2689</v>
      </c>
    </row>
    <row r="11" spans="1:14" x14ac:dyDescent="0.25">
      <c r="A11" s="4">
        <v>2022</v>
      </c>
      <c r="B11" s="2" t="s">
        <v>14</v>
      </c>
      <c r="C11" s="1">
        <v>6523</v>
      </c>
      <c r="D11" s="1">
        <v>3855</v>
      </c>
      <c r="E11" s="3">
        <v>2668</v>
      </c>
    </row>
    <row r="12" spans="1:14" x14ac:dyDescent="0.25">
      <c r="A12" s="4">
        <v>2022</v>
      </c>
      <c r="B12" s="2" t="s">
        <v>13</v>
      </c>
      <c r="C12" s="1">
        <v>6733</v>
      </c>
      <c r="D12" s="1">
        <v>3253</v>
      </c>
      <c r="E12" s="3">
        <v>3480</v>
      </c>
      <c r="G12" s="8" t="s">
        <v>21</v>
      </c>
      <c r="H12" t="s">
        <v>25</v>
      </c>
      <c r="I12" t="s">
        <v>33</v>
      </c>
    </row>
    <row r="13" spans="1:14" x14ac:dyDescent="0.25">
      <c r="A13" s="4">
        <v>2022</v>
      </c>
      <c r="B13" s="7" t="s">
        <v>12</v>
      </c>
      <c r="C13" s="1">
        <v>5457</v>
      </c>
      <c r="D13" s="1">
        <v>2307</v>
      </c>
      <c r="E13" s="3">
        <v>3150</v>
      </c>
      <c r="G13" s="9" t="s">
        <v>40</v>
      </c>
      <c r="H13" s="28">
        <v>89</v>
      </c>
      <c r="I13" s="19">
        <v>1.6518188567186339E-2</v>
      </c>
    </row>
    <row r="14" spans="1:14" x14ac:dyDescent="0.25">
      <c r="A14" s="2">
        <v>2023</v>
      </c>
      <c r="B14" s="2" t="s">
        <v>9</v>
      </c>
      <c r="C14" s="1">
        <v>7827</v>
      </c>
      <c r="D14" s="1">
        <v>4148</v>
      </c>
      <c r="E14" s="3">
        <v>3679</v>
      </c>
      <c r="G14" s="9" t="s">
        <v>32</v>
      </c>
      <c r="H14" s="28">
        <v>1222</v>
      </c>
      <c r="I14" s="19">
        <v>0.22680029695619897</v>
      </c>
    </row>
    <row r="15" spans="1:14" x14ac:dyDescent="0.25">
      <c r="A15" s="7">
        <v>2023</v>
      </c>
      <c r="B15" s="7" t="s">
        <v>8</v>
      </c>
      <c r="C15" s="21">
        <v>5115</v>
      </c>
      <c r="D15" s="21">
        <v>2736</v>
      </c>
      <c r="E15" s="20">
        <v>2379</v>
      </c>
      <c r="G15" s="9" t="s">
        <v>31</v>
      </c>
      <c r="H15" s="28">
        <v>1290</v>
      </c>
      <c r="I15" s="19">
        <v>0.23942093541202672</v>
      </c>
    </row>
    <row r="16" spans="1:14" x14ac:dyDescent="0.25">
      <c r="A16" s="7">
        <v>2023</v>
      </c>
      <c r="B16" t="s">
        <v>7</v>
      </c>
      <c r="C16" s="21">
        <v>6569</v>
      </c>
      <c r="D16" s="21">
        <v>3385</v>
      </c>
      <c r="E16" s="20">
        <v>3184</v>
      </c>
      <c r="G16" s="9" t="s">
        <v>29</v>
      </c>
      <c r="H16" s="28">
        <v>1374</v>
      </c>
      <c r="I16" s="19">
        <v>0.25501113585746105</v>
      </c>
    </row>
    <row r="17" spans="1:12" x14ac:dyDescent="0.25">
      <c r="A17" s="7">
        <v>2023</v>
      </c>
      <c r="B17" s="7" t="s">
        <v>6</v>
      </c>
      <c r="C17" s="21">
        <v>5201</v>
      </c>
      <c r="D17" s="21">
        <v>2837</v>
      </c>
      <c r="E17" s="20">
        <v>2364</v>
      </c>
      <c r="G17" s="9" t="s">
        <v>30</v>
      </c>
      <c r="H17" s="28">
        <v>1413</v>
      </c>
      <c r="I17" s="19">
        <v>0.26224944320712695</v>
      </c>
    </row>
    <row r="18" spans="1:12" x14ac:dyDescent="0.25">
      <c r="A18">
        <v>2023</v>
      </c>
      <c r="B18" t="s">
        <v>5</v>
      </c>
      <c r="C18">
        <v>6175</v>
      </c>
      <c r="D18">
        <v>3344</v>
      </c>
      <c r="E18">
        <v>2831</v>
      </c>
      <c r="G18" s="9" t="s">
        <v>22</v>
      </c>
      <c r="H18" s="28">
        <v>5388</v>
      </c>
      <c r="I18" s="19">
        <v>1</v>
      </c>
    </row>
    <row r="19" spans="1:12" x14ac:dyDescent="0.25">
      <c r="A19">
        <v>2023</v>
      </c>
      <c r="B19" t="s">
        <v>4</v>
      </c>
      <c r="C19">
        <v>5269</v>
      </c>
      <c r="D19">
        <v>2905</v>
      </c>
      <c r="E19">
        <v>2364</v>
      </c>
      <c r="G19" s="18"/>
    </row>
    <row r="20" spans="1:12" x14ac:dyDescent="0.25">
      <c r="A20">
        <v>2023</v>
      </c>
      <c r="B20" t="s">
        <v>2</v>
      </c>
      <c r="C20">
        <v>5278</v>
      </c>
      <c r="D20">
        <v>3217</v>
      </c>
      <c r="E20">
        <v>2061</v>
      </c>
      <c r="G20" s="18"/>
    </row>
    <row r="21" spans="1:12" x14ac:dyDescent="0.25">
      <c r="A21">
        <v>2023</v>
      </c>
      <c r="B21" t="s">
        <v>3</v>
      </c>
      <c r="C21">
        <v>5924</v>
      </c>
      <c r="D21">
        <v>3221</v>
      </c>
      <c r="E21">
        <v>2703</v>
      </c>
      <c r="G21" s="14" t="s">
        <v>19</v>
      </c>
      <c r="H21" s="15" t="s">
        <v>24</v>
      </c>
      <c r="I21" s="15" t="s">
        <v>16</v>
      </c>
      <c r="J21" s="15" t="s">
        <v>17</v>
      </c>
      <c r="K21" s="12" t="s">
        <v>1</v>
      </c>
      <c r="L21" s="5" t="s">
        <v>34</v>
      </c>
    </row>
    <row r="22" spans="1:12" x14ac:dyDescent="0.25">
      <c r="A22">
        <v>2023</v>
      </c>
      <c r="B22" t="s">
        <v>15</v>
      </c>
      <c r="C22">
        <v>5441</v>
      </c>
      <c r="D22">
        <v>2928</v>
      </c>
      <c r="E22">
        <v>2513</v>
      </c>
      <c r="G22" t="s">
        <v>30</v>
      </c>
      <c r="H22">
        <v>158</v>
      </c>
      <c r="I22">
        <v>448.1</v>
      </c>
      <c r="J22">
        <v>2.83</v>
      </c>
      <c r="K22" t="s">
        <v>8</v>
      </c>
      <c r="L22">
        <v>2022</v>
      </c>
    </row>
    <row r="23" spans="1:12" x14ac:dyDescent="0.25">
      <c r="A23">
        <v>2023</v>
      </c>
      <c r="B23" t="s">
        <v>14</v>
      </c>
      <c r="C23">
        <v>5411</v>
      </c>
      <c r="D23">
        <v>2362</v>
      </c>
      <c r="E23">
        <v>3049</v>
      </c>
      <c r="G23" t="s">
        <v>29</v>
      </c>
      <c r="H23">
        <v>165</v>
      </c>
      <c r="I23">
        <v>475.83</v>
      </c>
      <c r="J23">
        <v>2.88</v>
      </c>
      <c r="K23" t="s">
        <v>8</v>
      </c>
      <c r="L23">
        <v>2022</v>
      </c>
    </row>
    <row r="24" spans="1:12" x14ac:dyDescent="0.25">
      <c r="A24">
        <v>2023</v>
      </c>
      <c r="B24" t="s">
        <v>13</v>
      </c>
      <c r="C24">
        <v>4906</v>
      </c>
      <c r="D24">
        <v>2125</v>
      </c>
      <c r="E24">
        <v>2781</v>
      </c>
      <c r="G24" t="s">
        <v>30</v>
      </c>
      <c r="H24">
        <v>1320</v>
      </c>
      <c r="I24">
        <v>3684.42</v>
      </c>
      <c r="J24">
        <v>2.78</v>
      </c>
      <c r="K24" t="s">
        <v>39</v>
      </c>
      <c r="L24">
        <v>2022</v>
      </c>
    </row>
    <row r="25" spans="1:12" x14ac:dyDescent="0.25">
      <c r="A25">
        <v>2023</v>
      </c>
      <c r="B25" t="s">
        <v>12</v>
      </c>
      <c r="C25">
        <v>4108</v>
      </c>
      <c r="D25">
        <v>2073</v>
      </c>
      <c r="E25">
        <v>2035</v>
      </c>
      <c r="G25" t="s">
        <v>29</v>
      </c>
      <c r="H25">
        <v>1341</v>
      </c>
      <c r="I25">
        <v>4031.93</v>
      </c>
      <c r="J25">
        <v>3</v>
      </c>
      <c r="K25" t="s">
        <v>39</v>
      </c>
      <c r="L25">
        <v>2022</v>
      </c>
    </row>
    <row r="26" spans="1:12" x14ac:dyDescent="0.25">
      <c r="A26">
        <v>2024</v>
      </c>
      <c r="B26" t="s">
        <v>9</v>
      </c>
      <c r="C26">
        <v>5984</v>
      </c>
      <c r="D26">
        <v>3939</v>
      </c>
      <c r="E26">
        <v>2045</v>
      </c>
      <c r="G26" t="s">
        <v>30</v>
      </c>
      <c r="H26">
        <v>1107</v>
      </c>
      <c r="I26">
        <v>2976.47</v>
      </c>
      <c r="J26">
        <v>2.68</v>
      </c>
      <c r="K26" t="s">
        <v>6</v>
      </c>
      <c r="L26">
        <v>2022</v>
      </c>
    </row>
    <row r="27" spans="1:12" x14ac:dyDescent="0.25">
      <c r="A27">
        <v>2024</v>
      </c>
      <c r="B27" t="s">
        <v>8</v>
      </c>
      <c r="C27">
        <v>4336</v>
      </c>
      <c r="D27">
        <v>2935</v>
      </c>
      <c r="E27">
        <v>1401</v>
      </c>
      <c r="G27" t="s">
        <v>29</v>
      </c>
      <c r="H27">
        <v>1198</v>
      </c>
      <c r="I27">
        <v>3615.03</v>
      </c>
      <c r="J27">
        <v>3.02</v>
      </c>
      <c r="K27" t="s">
        <v>6</v>
      </c>
      <c r="L27">
        <v>2022</v>
      </c>
    </row>
    <row r="28" spans="1:12" x14ac:dyDescent="0.25">
      <c r="A28">
        <v>2024</v>
      </c>
      <c r="B28" t="s">
        <v>7</v>
      </c>
      <c r="C28">
        <v>4949</v>
      </c>
      <c r="D28">
        <v>3209</v>
      </c>
      <c r="E28">
        <v>1740</v>
      </c>
      <c r="G28" t="s">
        <v>30</v>
      </c>
      <c r="H28">
        <v>1318</v>
      </c>
      <c r="I28">
        <v>3660.13</v>
      </c>
      <c r="J28">
        <v>2.78</v>
      </c>
      <c r="K28" t="s">
        <v>5</v>
      </c>
      <c r="L28">
        <v>2022</v>
      </c>
    </row>
    <row r="29" spans="1:12" x14ac:dyDescent="0.25">
      <c r="A29">
        <v>2024</v>
      </c>
      <c r="B29" t="s">
        <v>6</v>
      </c>
      <c r="C29">
        <v>5006</v>
      </c>
      <c r="D29">
        <v>3375</v>
      </c>
      <c r="E29">
        <v>1631</v>
      </c>
      <c r="G29" t="s">
        <v>29</v>
      </c>
      <c r="H29">
        <v>1335</v>
      </c>
      <c r="I29">
        <v>3830.7</v>
      </c>
      <c r="J29">
        <v>2.87</v>
      </c>
      <c r="K29" t="s">
        <v>5</v>
      </c>
      <c r="L29">
        <v>2022</v>
      </c>
    </row>
    <row r="30" spans="1:12" x14ac:dyDescent="0.25">
      <c r="A30">
        <v>2024</v>
      </c>
      <c r="B30" t="s">
        <v>5</v>
      </c>
      <c r="C30">
        <v>4773</v>
      </c>
      <c r="D30">
        <v>3325</v>
      </c>
      <c r="E30">
        <v>1448</v>
      </c>
      <c r="G30" t="s">
        <v>30</v>
      </c>
      <c r="H30">
        <v>1194</v>
      </c>
      <c r="I30">
        <v>3233.43</v>
      </c>
      <c r="J30">
        <v>2.7</v>
      </c>
      <c r="K30" t="s">
        <v>4</v>
      </c>
      <c r="L30">
        <v>2022</v>
      </c>
    </row>
    <row r="31" spans="1:12" x14ac:dyDescent="0.25">
      <c r="A31">
        <v>2024</v>
      </c>
      <c r="B31" t="s">
        <v>4</v>
      </c>
      <c r="C31">
        <v>3939</v>
      </c>
      <c r="D31">
        <v>2748</v>
      </c>
      <c r="E31">
        <v>1191</v>
      </c>
      <c r="G31" t="s">
        <v>29</v>
      </c>
      <c r="H31">
        <v>1242</v>
      </c>
      <c r="I31">
        <v>3508.52</v>
      </c>
      <c r="J31">
        <v>2.82</v>
      </c>
      <c r="K31" t="s">
        <v>4</v>
      </c>
      <c r="L31">
        <v>2022</v>
      </c>
    </row>
    <row r="32" spans="1:12" x14ac:dyDescent="0.25">
      <c r="A32">
        <v>2024</v>
      </c>
      <c r="B32" t="s">
        <v>2</v>
      </c>
      <c r="C32">
        <v>5007</v>
      </c>
      <c r="D32">
        <v>3339</v>
      </c>
      <c r="E32">
        <v>1668</v>
      </c>
      <c r="G32" t="s">
        <v>30</v>
      </c>
      <c r="H32">
        <v>1653</v>
      </c>
      <c r="I32">
        <v>4193.4799999999996</v>
      </c>
      <c r="J32">
        <v>2.5299999999999998</v>
      </c>
      <c r="K32" t="s">
        <v>2</v>
      </c>
      <c r="L32">
        <v>2022</v>
      </c>
    </row>
    <row r="33" spans="1:12" x14ac:dyDescent="0.25">
      <c r="A33">
        <v>2024</v>
      </c>
      <c r="B33" t="s">
        <v>3</v>
      </c>
      <c r="C33">
        <v>5540</v>
      </c>
      <c r="D33">
        <v>3353</v>
      </c>
      <c r="E33">
        <v>2187</v>
      </c>
      <c r="G33" t="s">
        <v>29</v>
      </c>
      <c r="H33">
        <v>1536</v>
      </c>
      <c r="I33">
        <v>4176.17</v>
      </c>
      <c r="J33">
        <v>2.72</v>
      </c>
      <c r="K33" t="s">
        <v>2</v>
      </c>
      <c r="L33">
        <v>2022</v>
      </c>
    </row>
    <row r="34" spans="1:12" x14ac:dyDescent="0.25">
      <c r="A34">
        <v>2024</v>
      </c>
      <c r="B34" t="s">
        <v>15</v>
      </c>
      <c r="C34">
        <v>5438</v>
      </c>
      <c r="D34">
        <v>3491</v>
      </c>
      <c r="E34">
        <v>1947</v>
      </c>
      <c r="G34" t="s">
        <v>30</v>
      </c>
      <c r="H34">
        <v>1230</v>
      </c>
      <c r="I34">
        <v>2894.92</v>
      </c>
      <c r="J34">
        <v>2.35</v>
      </c>
      <c r="K34" t="s">
        <v>3</v>
      </c>
      <c r="L34">
        <v>2022</v>
      </c>
    </row>
    <row r="35" spans="1:12" x14ac:dyDescent="0.25">
      <c r="A35">
        <v>2024</v>
      </c>
      <c r="B35" t="s">
        <v>14</v>
      </c>
      <c r="C35">
        <v>6754</v>
      </c>
      <c r="D35">
        <v>3378</v>
      </c>
      <c r="E35">
        <v>3376</v>
      </c>
      <c r="G35" t="s">
        <v>31</v>
      </c>
      <c r="H35">
        <v>1108</v>
      </c>
      <c r="I35">
        <v>2773.85</v>
      </c>
      <c r="J35">
        <v>2.5</v>
      </c>
      <c r="K35" t="s">
        <v>3</v>
      </c>
      <c r="L35">
        <v>2022</v>
      </c>
    </row>
    <row r="36" spans="1:12" x14ac:dyDescent="0.25">
      <c r="A36">
        <v>2024</v>
      </c>
      <c r="B36" t="s">
        <v>13</v>
      </c>
      <c r="C36">
        <v>5683</v>
      </c>
      <c r="D36">
        <v>2600</v>
      </c>
      <c r="E36">
        <v>3083</v>
      </c>
      <c r="G36" t="s">
        <v>29</v>
      </c>
      <c r="H36">
        <v>1194</v>
      </c>
      <c r="I36">
        <v>3010.77</v>
      </c>
      <c r="J36">
        <v>2.52</v>
      </c>
      <c r="K36" t="s">
        <v>3</v>
      </c>
      <c r="L36">
        <v>2022</v>
      </c>
    </row>
    <row r="37" spans="1:12" x14ac:dyDescent="0.25">
      <c r="A37">
        <v>2024</v>
      </c>
      <c r="B37" t="s">
        <v>12</v>
      </c>
      <c r="C37">
        <v>4311</v>
      </c>
      <c r="D37">
        <v>2068</v>
      </c>
      <c r="E37">
        <v>2243</v>
      </c>
      <c r="G37" t="s">
        <v>30</v>
      </c>
      <c r="H37">
        <v>1237</v>
      </c>
      <c r="I37">
        <v>3014.43</v>
      </c>
      <c r="J37">
        <v>2.4300000000000002</v>
      </c>
      <c r="K37" t="s">
        <v>15</v>
      </c>
      <c r="L37">
        <v>2022</v>
      </c>
    </row>
    <row r="38" spans="1:12" x14ac:dyDescent="0.25">
      <c r="A38">
        <v>2025</v>
      </c>
      <c r="B38" t="s">
        <v>9</v>
      </c>
      <c r="C38" s="17">
        <v>6805</v>
      </c>
      <c r="D38">
        <v>5924</v>
      </c>
      <c r="E38">
        <f>Tabela1[[#This Row],[Recebidas]]-Tabela1[[#This Row],[Atendidas]]</f>
        <v>881</v>
      </c>
      <c r="G38" t="s">
        <v>31</v>
      </c>
      <c r="H38">
        <v>1317</v>
      </c>
      <c r="I38">
        <v>3019.77</v>
      </c>
      <c r="J38">
        <v>2.2999999999999998</v>
      </c>
      <c r="K38" t="s">
        <v>15</v>
      </c>
      <c r="L38">
        <v>2022</v>
      </c>
    </row>
    <row r="39" spans="1:12" x14ac:dyDescent="0.25">
      <c r="A39">
        <v>2025</v>
      </c>
      <c r="B39" t="s">
        <v>8</v>
      </c>
      <c r="C39">
        <v>5010</v>
      </c>
      <c r="D39">
        <v>4616</v>
      </c>
      <c r="E39">
        <f>Tabela1[[#This Row],[Recebidas]]-Tabela1[[#This Row],[Atendidas]]</f>
        <v>394</v>
      </c>
      <c r="G39" t="s">
        <v>29</v>
      </c>
      <c r="H39">
        <v>1244</v>
      </c>
      <c r="I39">
        <v>3143.35</v>
      </c>
      <c r="J39">
        <v>2.5299999999999998</v>
      </c>
      <c r="K39" t="s">
        <v>15</v>
      </c>
      <c r="L39">
        <v>2022</v>
      </c>
    </row>
    <row r="40" spans="1:12" x14ac:dyDescent="0.25">
      <c r="A40">
        <v>2025</v>
      </c>
      <c r="B40" t="s">
        <v>7</v>
      </c>
      <c r="C40" s="17">
        <v>5469</v>
      </c>
      <c r="D40" s="17">
        <v>4784</v>
      </c>
      <c r="E40">
        <f>Tabela1[[#This Row],[Recebidas]]-Tabela1[[#This Row],[Atendidas]]</f>
        <v>685</v>
      </c>
      <c r="G40" t="s">
        <v>30</v>
      </c>
      <c r="H40">
        <v>1288</v>
      </c>
      <c r="I40">
        <v>3035.12</v>
      </c>
      <c r="J40">
        <v>2.35</v>
      </c>
      <c r="K40" t="s">
        <v>14</v>
      </c>
      <c r="L40">
        <v>2022</v>
      </c>
    </row>
    <row r="41" spans="1:12" x14ac:dyDescent="0.25">
      <c r="A41">
        <v>2025</v>
      </c>
      <c r="B41" t="s">
        <v>6</v>
      </c>
      <c r="C41">
        <v>6167</v>
      </c>
      <c r="D41">
        <v>5654</v>
      </c>
      <c r="E41">
        <f>Tabela1[[#This Row],[Recebidas]]-Tabela1[[#This Row],[Atendidas]]</f>
        <v>513</v>
      </c>
      <c r="G41" t="s">
        <v>31</v>
      </c>
      <c r="H41">
        <v>1313</v>
      </c>
      <c r="I41">
        <v>2893.4</v>
      </c>
      <c r="J41">
        <v>2.2000000000000002</v>
      </c>
      <c r="K41" t="s">
        <v>14</v>
      </c>
      <c r="L41">
        <v>2022</v>
      </c>
    </row>
    <row r="42" spans="1:12" x14ac:dyDescent="0.25">
      <c r="A42">
        <v>2025</v>
      </c>
      <c r="B42" t="s">
        <v>5</v>
      </c>
      <c r="C42">
        <v>6487</v>
      </c>
      <c r="D42">
        <v>5968</v>
      </c>
      <c r="E42">
        <f>Tabela1[[#This Row],[Recebidas]]-Tabela1[[#This Row],[Atendidas]]</f>
        <v>519</v>
      </c>
      <c r="G42" t="s">
        <v>29</v>
      </c>
      <c r="H42">
        <v>1254</v>
      </c>
      <c r="I42">
        <v>3342.6</v>
      </c>
      <c r="J42">
        <v>2.67</v>
      </c>
      <c r="K42" t="s">
        <v>14</v>
      </c>
      <c r="L42">
        <v>2022</v>
      </c>
    </row>
    <row r="43" spans="1:12" x14ac:dyDescent="0.25">
      <c r="A43">
        <v>2025</v>
      </c>
      <c r="B43" t="s">
        <v>4</v>
      </c>
      <c r="C43">
        <v>4421</v>
      </c>
      <c r="D43">
        <v>4151</v>
      </c>
      <c r="E43">
        <f>Tabela1[[#This Row],[Recebidas]]-Tabela1[[#This Row],[Atendidas]]</f>
        <v>270</v>
      </c>
      <c r="G43" t="s">
        <v>30</v>
      </c>
      <c r="H43">
        <v>1113</v>
      </c>
      <c r="I43">
        <v>2501.6999999999998</v>
      </c>
      <c r="J43">
        <v>2.25</v>
      </c>
      <c r="K43" t="s">
        <v>13</v>
      </c>
      <c r="L43">
        <v>2022</v>
      </c>
    </row>
    <row r="44" spans="1:12" x14ac:dyDescent="0.25">
      <c r="A44">
        <v>2025</v>
      </c>
      <c r="B44" t="s">
        <v>2</v>
      </c>
      <c r="C44">
        <v>6145</v>
      </c>
      <c r="D44">
        <v>5532</v>
      </c>
      <c r="E44">
        <f>Tabela1[[#This Row],[Recebidas]]-Tabela1[[#This Row],[Atendidas]]</f>
        <v>613</v>
      </c>
      <c r="G44" t="s">
        <v>31</v>
      </c>
      <c r="H44">
        <v>1661</v>
      </c>
      <c r="I44">
        <v>4064.25</v>
      </c>
      <c r="J44">
        <v>2.4500000000000002</v>
      </c>
      <c r="K44" t="s">
        <v>13</v>
      </c>
      <c r="L44">
        <v>2022</v>
      </c>
    </row>
    <row r="45" spans="1:12" x14ac:dyDescent="0.25">
      <c r="A45">
        <v>2025</v>
      </c>
      <c r="B45" t="s">
        <v>3</v>
      </c>
      <c r="C45">
        <v>5614</v>
      </c>
      <c r="D45">
        <v>5228</v>
      </c>
      <c r="E45">
        <f>Tabela1[[#This Row],[Recebidas]]-Tabela1[[#This Row],[Atendidas]]</f>
        <v>386</v>
      </c>
      <c r="G45" t="s">
        <v>29</v>
      </c>
      <c r="H45">
        <v>479</v>
      </c>
      <c r="I45">
        <v>1388.08</v>
      </c>
      <c r="J45">
        <v>2.9</v>
      </c>
      <c r="K45" t="s">
        <v>13</v>
      </c>
      <c r="L45">
        <v>2022</v>
      </c>
    </row>
    <row r="46" spans="1:12" x14ac:dyDescent="0.25">
      <c r="A46">
        <v>2025</v>
      </c>
      <c r="B46" t="s">
        <v>15</v>
      </c>
      <c r="C46">
        <v>5842</v>
      </c>
      <c r="D46">
        <v>5447</v>
      </c>
      <c r="E46">
        <f>Tabela1[[#This Row],[Recebidas]]-Tabela1[[#This Row],[Atendidas]]</f>
        <v>395</v>
      </c>
      <c r="G46" t="s">
        <v>30</v>
      </c>
      <c r="H46">
        <v>1301</v>
      </c>
      <c r="I46">
        <v>2891.47</v>
      </c>
      <c r="J46">
        <v>2.2200000000000002</v>
      </c>
      <c r="K46" t="s">
        <v>12</v>
      </c>
      <c r="L46">
        <v>2022</v>
      </c>
    </row>
    <row r="47" spans="1:12" x14ac:dyDescent="0.25">
      <c r="A47">
        <v>2025</v>
      </c>
      <c r="B47" t="s">
        <v>14</v>
      </c>
      <c r="C47">
        <v>5343</v>
      </c>
      <c r="D47">
        <v>4883</v>
      </c>
      <c r="E47">
        <f>Tabela1[[#This Row],[Recebidas]]-Tabela1[[#This Row],[Atendidas]]</f>
        <v>460</v>
      </c>
      <c r="G47" t="s">
        <v>31</v>
      </c>
      <c r="H47">
        <v>115</v>
      </c>
      <c r="I47">
        <v>311.89999999999998</v>
      </c>
      <c r="J47">
        <v>2.72</v>
      </c>
      <c r="K47" t="s">
        <v>12</v>
      </c>
      <c r="L47">
        <v>2022</v>
      </c>
    </row>
    <row r="48" spans="1:12" x14ac:dyDescent="0.25">
      <c r="A48">
        <v>2025</v>
      </c>
      <c r="B48" t="s">
        <v>13</v>
      </c>
      <c r="C48">
        <v>4658</v>
      </c>
      <c r="D48">
        <v>4163</v>
      </c>
      <c r="E48">
        <f>Tabela1[[#This Row],[Recebidas]]-Tabela1[[#This Row],[Atendidas]]</f>
        <v>495</v>
      </c>
      <c r="G48" t="s">
        <v>29</v>
      </c>
      <c r="H48">
        <v>891</v>
      </c>
      <c r="I48">
        <v>2555.1</v>
      </c>
      <c r="J48">
        <v>2.87</v>
      </c>
      <c r="K48" t="s">
        <v>12</v>
      </c>
      <c r="L48">
        <v>2022</v>
      </c>
    </row>
    <row r="49" spans="1:12" x14ac:dyDescent="0.25">
      <c r="A49">
        <v>2025</v>
      </c>
      <c r="B49" t="s">
        <v>12</v>
      </c>
      <c r="C49">
        <v>4139</v>
      </c>
      <c r="D49">
        <v>3463</v>
      </c>
      <c r="E49">
        <f>Tabela1[[#This Row],[Recebidas]]-Tabela1[[#This Row],[Atendidas]]</f>
        <v>676</v>
      </c>
      <c r="G49" t="s">
        <v>30</v>
      </c>
      <c r="H49">
        <v>1235</v>
      </c>
      <c r="I49">
        <v>2893.53</v>
      </c>
      <c r="J49">
        <v>2.35</v>
      </c>
      <c r="K49" t="s">
        <v>9</v>
      </c>
      <c r="L49">
        <v>2023</v>
      </c>
    </row>
    <row r="50" spans="1:12" x14ac:dyDescent="0.25">
      <c r="A50">
        <v>2026</v>
      </c>
      <c r="B50" t="s">
        <v>9</v>
      </c>
      <c r="C50">
        <v>5913</v>
      </c>
      <c r="D50">
        <v>5423</v>
      </c>
      <c r="E50">
        <f>Tabela1[[#This Row],[Recebidas]]-Tabela1[[#This Row],[Atendidas]]</f>
        <v>490</v>
      </c>
      <c r="G50" t="s">
        <v>31</v>
      </c>
      <c r="H50">
        <v>1453</v>
      </c>
      <c r="I50">
        <v>3509.48</v>
      </c>
      <c r="J50">
        <v>2.42</v>
      </c>
      <c r="K50" t="s">
        <v>9</v>
      </c>
      <c r="L50">
        <v>2023</v>
      </c>
    </row>
    <row r="51" spans="1:12" x14ac:dyDescent="0.25">
      <c r="A51">
        <v>2026</v>
      </c>
      <c r="B51" t="s">
        <v>8</v>
      </c>
      <c r="C51">
        <v>4254</v>
      </c>
      <c r="D51">
        <v>3855</v>
      </c>
      <c r="E51">
        <f>Tabela1[[#This Row],[Recebidas]]-Tabela1[[#This Row],[Atendidas]]</f>
        <v>399</v>
      </c>
      <c r="G51" t="s">
        <v>29</v>
      </c>
      <c r="H51">
        <v>1460</v>
      </c>
      <c r="I51">
        <v>4330.2299999999996</v>
      </c>
      <c r="J51">
        <v>2.97</v>
      </c>
      <c r="K51" t="s">
        <v>9</v>
      </c>
      <c r="L51">
        <v>2023</v>
      </c>
    </row>
    <row r="52" spans="1:12" x14ac:dyDescent="0.25">
      <c r="A52">
        <v>2026</v>
      </c>
      <c r="B52" t="s">
        <v>7</v>
      </c>
      <c r="C52">
        <v>5334</v>
      </c>
      <c r="D52">
        <v>4946</v>
      </c>
      <c r="E52">
        <f>Tabela1[[#This Row],[Recebidas]]-Tabela1[[#This Row],[Atendidas]]</f>
        <v>388</v>
      </c>
      <c r="G52" t="s">
        <v>30</v>
      </c>
      <c r="H52">
        <v>907</v>
      </c>
      <c r="I52">
        <v>2084.2199999999998</v>
      </c>
      <c r="J52">
        <v>2.2999999999999998</v>
      </c>
      <c r="K52" t="s">
        <v>8</v>
      </c>
      <c r="L52">
        <v>2023</v>
      </c>
    </row>
    <row r="53" spans="1:12" x14ac:dyDescent="0.25">
      <c r="A53">
        <v>2026</v>
      </c>
      <c r="B53" t="s">
        <v>6</v>
      </c>
      <c r="C53">
        <v>4729</v>
      </c>
      <c r="D53">
        <v>4390</v>
      </c>
      <c r="E53">
        <f>Tabela1[[#This Row],[Recebidas]]-Tabela1[[#This Row],[Atendidas]]</f>
        <v>339</v>
      </c>
      <c r="G53" t="s">
        <v>31</v>
      </c>
      <c r="H53">
        <v>911</v>
      </c>
      <c r="I53">
        <v>1986.28</v>
      </c>
      <c r="J53">
        <v>2.1800000000000002</v>
      </c>
      <c r="K53" t="s">
        <v>8</v>
      </c>
      <c r="L53">
        <v>2023</v>
      </c>
    </row>
    <row r="54" spans="1:12" x14ac:dyDescent="0.25">
      <c r="A54" s="7">
        <v>2026</v>
      </c>
      <c r="B54" s="7" t="s">
        <v>5</v>
      </c>
      <c r="C54" s="21">
        <v>4772</v>
      </c>
      <c r="D54" s="21">
        <v>4433</v>
      </c>
      <c r="E54" s="20">
        <f>Tabela1[[#This Row],[Recebidas]]-Tabela1[[#This Row],[Atendidas]]</f>
        <v>339</v>
      </c>
      <c r="G54" t="s">
        <v>29</v>
      </c>
      <c r="H54">
        <v>918</v>
      </c>
      <c r="I54">
        <v>2538.38</v>
      </c>
      <c r="J54">
        <v>2.77</v>
      </c>
      <c r="K54" t="s">
        <v>8</v>
      </c>
      <c r="L54">
        <v>2023</v>
      </c>
    </row>
    <row r="55" spans="1:12" x14ac:dyDescent="0.25">
      <c r="A55">
        <v>2026</v>
      </c>
      <c r="B55" t="s">
        <v>4</v>
      </c>
      <c r="C55">
        <v>4112</v>
      </c>
      <c r="D55">
        <v>3747</v>
      </c>
      <c r="E55">
        <v>365</v>
      </c>
      <c r="G55" t="s">
        <v>30</v>
      </c>
      <c r="H55">
        <v>1135</v>
      </c>
      <c r="I55">
        <v>2454.2800000000002</v>
      </c>
      <c r="J55">
        <v>2.17</v>
      </c>
      <c r="K55" t="s">
        <v>39</v>
      </c>
      <c r="L55">
        <v>2023</v>
      </c>
    </row>
    <row r="56" spans="1:12" x14ac:dyDescent="0.25">
      <c r="A56" s="7">
        <v>2026</v>
      </c>
      <c r="B56" s="7" t="s">
        <v>2</v>
      </c>
      <c r="C56" s="21">
        <v>6045</v>
      </c>
      <c r="D56" s="21">
        <v>5388</v>
      </c>
      <c r="E56" s="20">
        <v>657</v>
      </c>
      <c r="G56" t="s">
        <v>31</v>
      </c>
      <c r="H56">
        <v>1103</v>
      </c>
      <c r="I56">
        <v>2374.12</v>
      </c>
      <c r="J56">
        <v>2.15</v>
      </c>
      <c r="K56" t="s">
        <v>39</v>
      </c>
      <c r="L56">
        <v>2023</v>
      </c>
    </row>
    <row r="57" spans="1:12" x14ac:dyDescent="0.25">
      <c r="A57" s="8" t="s">
        <v>21</v>
      </c>
      <c r="B57" t="s">
        <v>35</v>
      </c>
      <c r="C57" t="s">
        <v>36</v>
      </c>
      <c r="D57" t="s">
        <v>37</v>
      </c>
      <c r="G57" t="s">
        <v>29</v>
      </c>
      <c r="H57">
        <v>1147</v>
      </c>
      <c r="I57">
        <v>2912.62</v>
      </c>
      <c r="J57">
        <v>2.5299999999999998</v>
      </c>
      <c r="K57" t="s">
        <v>39</v>
      </c>
      <c r="L57">
        <v>2023</v>
      </c>
    </row>
    <row r="58" spans="1:12" x14ac:dyDescent="0.25">
      <c r="A58" s="9" t="s">
        <v>9</v>
      </c>
      <c r="B58" s="28">
        <v>5913</v>
      </c>
      <c r="C58" s="28">
        <v>5423</v>
      </c>
      <c r="D58" s="28">
        <v>490</v>
      </c>
      <c r="G58" t="s">
        <v>30</v>
      </c>
      <c r="H58">
        <v>958</v>
      </c>
      <c r="I58">
        <v>2026.58</v>
      </c>
      <c r="J58">
        <v>2.12</v>
      </c>
      <c r="K58" t="s">
        <v>6</v>
      </c>
      <c r="L58">
        <v>2023</v>
      </c>
    </row>
    <row r="59" spans="1:12" x14ac:dyDescent="0.25">
      <c r="A59" s="9" t="s">
        <v>8</v>
      </c>
      <c r="B59" s="28">
        <v>4254</v>
      </c>
      <c r="C59" s="28">
        <v>3855</v>
      </c>
      <c r="D59" s="28">
        <v>399</v>
      </c>
      <c r="G59" t="s">
        <v>31</v>
      </c>
      <c r="H59">
        <v>907</v>
      </c>
      <c r="I59">
        <v>1862.8</v>
      </c>
      <c r="J59">
        <v>2.0499999999999998</v>
      </c>
      <c r="K59" t="s">
        <v>6</v>
      </c>
      <c r="L59">
        <v>2023</v>
      </c>
    </row>
    <row r="60" spans="1:12" x14ac:dyDescent="0.25">
      <c r="A60" s="9" t="s">
        <v>7</v>
      </c>
      <c r="B60" s="28">
        <v>5334</v>
      </c>
      <c r="C60" s="28">
        <v>4946</v>
      </c>
      <c r="D60" s="28">
        <v>388</v>
      </c>
      <c r="G60" t="s">
        <v>29</v>
      </c>
      <c r="H60">
        <v>972</v>
      </c>
      <c r="I60">
        <v>2420.02</v>
      </c>
      <c r="J60">
        <v>2.48</v>
      </c>
      <c r="K60" t="s">
        <v>6</v>
      </c>
      <c r="L60">
        <v>2023</v>
      </c>
    </row>
    <row r="61" spans="1:12" x14ac:dyDescent="0.25">
      <c r="A61" s="9" t="s">
        <v>6</v>
      </c>
      <c r="B61" s="28">
        <v>4729</v>
      </c>
      <c r="C61" s="28">
        <v>4390</v>
      </c>
      <c r="D61" s="28">
        <v>339</v>
      </c>
      <c r="G61" t="s">
        <v>30</v>
      </c>
      <c r="H61">
        <v>1123</v>
      </c>
      <c r="I61">
        <v>2399.17</v>
      </c>
      <c r="J61">
        <v>2.13</v>
      </c>
      <c r="K61" t="s">
        <v>5</v>
      </c>
      <c r="L61">
        <v>2023</v>
      </c>
    </row>
    <row r="62" spans="1:12" x14ac:dyDescent="0.25">
      <c r="A62" s="9" t="s">
        <v>5</v>
      </c>
      <c r="B62" s="28">
        <v>4772</v>
      </c>
      <c r="C62" s="28">
        <v>4433</v>
      </c>
      <c r="D62" s="28">
        <v>339</v>
      </c>
      <c r="G62" t="s">
        <v>31</v>
      </c>
      <c r="H62">
        <v>1090</v>
      </c>
      <c r="I62">
        <v>2304.0500000000002</v>
      </c>
      <c r="J62">
        <v>2.12</v>
      </c>
      <c r="K62" t="s">
        <v>5</v>
      </c>
      <c r="L62">
        <v>2023</v>
      </c>
    </row>
    <row r="63" spans="1:12" x14ac:dyDescent="0.25">
      <c r="A63" s="9" t="s">
        <v>4</v>
      </c>
      <c r="B63" s="28">
        <v>4112</v>
      </c>
      <c r="C63" s="28">
        <v>3747</v>
      </c>
      <c r="D63" s="28">
        <v>365</v>
      </c>
      <c r="G63" t="s">
        <v>29</v>
      </c>
      <c r="H63">
        <v>1131</v>
      </c>
      <c r="I63">
        <v>2859.67</v>
      </c>
      <c r="J63">
        <v>2.5299999999999998</v>
      </c>
      <c r="K63" t="s">
        <v>5</v>
      </c>
      <c r="L63">
        <v>2023</v>
      </c>
    </row>
    <row r="64" spans="1:12" x14ac:dyDescent="0.25">
      <c r="A64" s="9" t="s">
        <v>2</v>
      </c>
      <c r="B64" s="28">
        <v>6045</v>
      </c>
      <c r="C64" s="28">
        <v>5388</v>
      </c>
      <c r="D64" s="28">
        <v>657</v>
      </c>
      <c r="G64" t="s">
        <v>30</v>
      </c>
      <c r="H64">
        <v>1019</v>
      </c>
      <c r="I64">
        <v>2060.75</v>
      </c>
      <c r="J64">
        <v>2.02</v>
      </c>
      <c r="K64" t="s">
        <v>4</v>
      </c>
      <c r="L64">
        <v>2023</v>
      </c>
    </row>
    <row r="65" spans="1:15" x14ac:dyDescent="0.25">
      <c r="A65" s="9" t="s">
        <v>22</v>
      </c>
      <c r="B65" s="28">
        <v>35159</v>
      </c>
      <c r="C65" s="28">
        <v>32182</v>
      </c>
      <c r="D65" s="28">
        <v>2977</v>
      </c>
      <c r="G65" t="s">
        <v>31</v>
      </c>
      <c r="H65">
        <v>918</v>
      </c>
      <c r="I65">
        <v>1842.2</v>
      </c>
      <c r="J65">
        <v>2</v>
      </c>
      <c r="K65" t="s">
        <v>4</v>
      </c>
      <c r="L65">
        <v>2023</v>
      </c>
    </row>
    <row r="66" spans="1:15" x14ac:dyDescent="0.25">
      <c r="G66" t="s">
        <v>29</v>
      </c>
      <c r="H66">
        <v>968</v>
      </c>
      <c r="I66">
        <v>2414.65</v>
      </c>
      <c r="J66">
        <v>2.5</v>
      </c>
      <c r="K66" t="s">
        <v>4</v>
      </c>
      <c r="L66">
        <v>2023</v>
      </c>
    </row>
    <row r="67" spans="1:15" x14ac:dyDescent="0.25">
      <c r="G67" t="s">
        <v>30</v>
      </c>
      <c r="H67">
        <v>1124</v>
      </c>
      <c r="I67">
        <v>2178.0500000000002</v>
      </c>
      <c r="J67">
        <v>1.93</v>
      </c>
      <c r="K67" t="s">
        <v>2</v>
      </c>
      <c r="L67">
        <v>2023</v>
      </c>
    </row>
    <row r="68" spans="1:15" x14ac:dyDescent="0.25">
      <c r="G68" t="s">
        <v>31</v>
      </c>
      <c r="H68">
        <v>953</v>
      </c>
      <c r="I68">
        <v>1886.65</v>
      </c>
      <c r="J68">
        <v>1.98</v>
      </c>
      <c r="K68" t="s">
        <v>2</v>
      </c>
      <c r="L68">
        <v>2023</v>
      </c>
    </row>
    <row r="69" spans="1:15" x14ac:dyDescent="0.25">
      <c r="G69" t="s">
        <v>29</v>
      </c>
      <c r="H69">
        <v>1140</v>
      </c>
      <c r="I69">
        <v>2606.08</v>
      </c>
      <c r="J69">
        <v>2.2799999999999998</v>
      </c>
      <c r="K69" t="s">
        <v>2</v>
      </c>
      <c r="L69">
        <v>2023</v>
      </c>
    </row>
    <row r="70" spans="1:15" x14ac:dyDescent="0.25">
      <c r="G70" t="s">
        <v>30</v>
      </c>
      <c r="H70">
        <v>1093</v>
      </c>
      <c r="I70">
        <v>2163.67</v>
      </c>
      <c r="J70">
        <v>1.98</v>
      </c>
      <c r="K70" t="s">
        <v>3</v>
      </c>
      <c r="L70">
        <v>2023</v>
      </c>
    </row>
    <row r="71" spans="1:15" x14ac:dyDescent="0.25">
      <c r="G71" t="s">
        <v>31</v>
      </c>
      <c r="H71">
        <v>1010</v>
      </c>
      <c r="I71">
        <v>2030.38</v>
      </c>
      <c r="J71">
        <v>2.02</v>
      </c>
      <c r="K71" t="s">
        <v>3</v>
      </c>
      <c r="L71">
        <v>2023</v>
      </c>
    </row>
    <row r="72" spans="1:15" x14ac:dyDescent="0.25">
      <c r="G72" t="s">
        <v>29</v>
      </c>
      <c r="H72">
        <v>1118</v>
      </c>
      <c r="I72">
        <v>2589.65</v>
      </c>
      <c r="J72">
        <v>2.3199999999999998</v>
      </c>
      <c r="K72" t="s">
        <v>3</v>
      </c>
      <c r="L72">
        <v>2023</v>
      </c>
    </row>
    <row r="73" spans="1:15" x14ac:dyDescent="0.25">
      <c r="G73" t="s">
        <v>30</v>
      </c>
      <c r="H73">
        <v>968</v>
      </c>
      <c r="I73">
        <v>2119.85</v>
      </c>
      <c r="J73">
        <v>2.1800000000000002</v>
      </c>
      <c r="K73" t="s">
        <v>15</v>
      </c>
      <c r="L73">
        <v>2023</v>
      </c>
    </row>
    <row r="74" spans="1:15" x14ac:dyDescent="0.25">
      <c r="G74" t="s">
        <v>31</v>
      </c>
      <c r="H74">
        <v>951</v>
      </c>
      <c r="I74">
        <v>2133.4299999999998</v>
      </c>
      <c r="J74">
        <v>2.25</v>
      </c>
      <c r="K74" t="s">
        <v>15</v>
      </c>
      <c r="L74">
        <v>2023</v>
      </c>
    </row>
    <row r="75" spans="1:15" x14ac:dyDescent="0.25">
      <c r="G75" t="s">
        <v>29</v>
      </c>
      <c r="H75">
        <v>1009</v>
      </c>
      <c r="I75">
        <v>2501.1</v>
      </c>
      <c r="J75">
        <v>2.48</v>
      </c>
      <c r="K75" t="s">
        <v>15</v>
      </c>
      <c r="L75">
        <v>2023</v>
      </c>
    </row>
    <row r="76" spans="1:15" x14ac:dyDescent="0.25">
      <c r="G76" t="s">
        <v>30</v>
      </c>
      <c r="H76">
        <v>1252</v>
      </c>
      <c r="I76">
        <v>2637.32</v>
      </c>
      <c r="J76">
        <v>2.1</v>
      </c>
      <c r="K76" t="s">
        <v>14</v>
      </c>
      <c r="L76">
        <v>2023</v>
      </c>
      <c r="M76" s="22"/>
      <c r="N76" s="23"/>
      <c r="O76" s="24"/>
    </row>
    <row r="77" spans="1:15" x14ac:dyDescent="0.25">
      <c r="G77" t="s">
        <v>29</v>
      </c>
      <c r="H77">
        <v>1110</v>
      </c>
      <c r="I77">
        <v>2749.43</v>
      </c>
      <c r="J77">
        <v>2.48</v>
      </c>
      <c r="K77" t="s">
        <v>14</v>
      </c>
      <c r="L77">
        <v>2023</v>
      </c>
      <c r="M77" s="22"/>
      <c r="N77" s="23"/>
      <c r="O77" s="24"/>
    </row>
    <row r="78" spans="1:15" x14ac:dyDescent="0.25">
      <c r="G78" t="s">
        <v>30</v>
      </c>
      <c r="H78">
        <v>1133</v>
      </c>
      <c r="I78">
        <v>2396.3200000000002</v>
      </c>
      <c r="J78">
        <v>2.12</v>
      </c>
      <c r="K78" t="s">
        <v>13</v>
      </c>
      <c r="L78">
        <v>2023</v>
      </c>
      <c r="M78" s="22"/>
      <c r="N78" s="23"/>
      <c r="O78" s="24"/>
    </row>
    <row r="79" spans="1:15" x14ac:dyDescent="0.25">
      <c r="G79" t="s">
        <v>31</v>
      </c>
      <c r="H79">
        <v>958</v>
      </c>
      <c r="I79">
        <v>2022.83</v>
      </c>
      <c r="J79">
        <v>2.12</v>
      </c>
      <c r="K79" t="s">
        <v>13</v>
      </c>
      <c r="L79">
        <v>2023</v>
      </c>
      <c r="M79" s="22"/>
      <c r="N79" s="23"/>
      <c r="O79" s="22"/>
    </row>
    <row r="80" spans="1:15" x14ac:dyDescent="0.25">
      <c r="G80" t="s">
        <v>29</v>
      </c>
      <c r="H80">
        <v>34</v>
      </c>
      <c r="I80">
        <v>87.23</v>
      </c>
      <c r="J80">
        <v>2.57</v>
      </c>
      <c r="K80" t="s">
        <v>13</v>
      </c>
      <c r="L80">
        <v>2023</v>
      </c>
      <c r="M80" s="22"/>
      <c r="N80" s="23"/>
      <c r="O80" s="24"/>
    </row>
    <row r="81" spans="7:15" x14ac:dyDescent="0.25">
      <c r="G81" t="s">
        <v>30</v>
      </c>
      <c r="H81">
        <v>25</v>
      </c>
      <c r="I81">
        <v>69.650000000000006</v>
      </c>
      <c r="J81">
        <v>2.78</v>
      </c>
      <c r="K81" t="s">
        <v>12</v>
      </c>
      <c r="L81">
        <v>2023</v>
      </c>
      <c r="M81" s="22"/>
      <c r="N81" s="23"/>
      <c r="O81" s="22"/>
    </row>
    <row r="82" spans="7:15" x14ac:dyDescent="0.25">
      <c r="G82" t="s">
        <v>31</v>
      </c>
      <c r="H82">
        <v>1002</v>
      </c>
      <c r="I82">
        <v>2063.4299999999998</v>
      </c>
      <c r="J82">
        <v>2.0699999999999998</v>
      </c>
      <c r="K82" t="s">
        <v>12</v>
      </c>
      <c r="L82">
        <v>2023</v>
      </c>
    </row>
    <row r="83" spans="7:15" x14ac:dyDescent="0.25">
      <c r="G83" t="s">
        <v>29</v>
      </c>
      <c r="H83">
        <v>1046</v>
      </c>
      <c r="I83">
        <v>2509.6999999999998</v>
      </c>
      <c r="J83">
        <v>2.4</v>
      </c>
      <c r="K83" t="s">
        <v>12</v>
      </c>
      <c r="L83">
        <v>2023</v>
      </c>
    </row>
    <row r="84" spans="7:15" x14ac:dyDescent="0.25">
      <c r="G84" t="s">
        <v>30</v>
      </c>
      <c r="H84">
        <v>1195</v>
      </c>
      <c r="I84">
        <v>2469.6799999999998</v>
      </c>
      <c r="J84">
        <v>2.0699999999999998</v>
      </c>
      <c r="K84" t="s">
        <v>9</v>
      </c>
      <c r="L84">
        <v>2024</v>
      </c>
    </row>
    <row r="85" spans="7:15" x14ac:dyDescent="0.25">
      <c r="G85" t="s">
        <v>31</v>
      </c>
      <c r="H85">
        <v>1331</v>
      </c>
      <c r="I85">
        <v>2702.88</v>
      </c>
      <c r="J85">
        <v>2.0299999999999998</v>
      </c>
      <c r="K85" t="s">
        <v>9</v>
      </c>
      <c r="L85">
        <v>2024</v>
      </c>
    </row>
    <row r="86" spans="7:15" x14ac:dyDescent="0.25">
      <c r="G86" t="s">
        <v>29</v>
      </c>
      <c r="H86">
        <v>1413</v>
      </c>
      <c r="I86">
        <v>3559.93</v>
      </c>
      <c r="J86">
        <v>2.52</v>
      </c>
      <c r="K86" t="s">
        <v>9</v>
      </c>
      <c r="L86">
        <v>2024</v>
      </c>
    </row>
    <row r="87" spans="7:15" x14ac:dyDescent="0.25">
      <c r="G87" t="s">
        <v>30</v>
      </c>
      <c r="H87">
        <v>983</v>
      </c>
      <c r="I87">
        <v>1975.92</v>
      </c>
      <c r="J87">
        <v>2.02</v>
      </c>
      <c r="K87" t="s">
        <v>8</v>
      </c>
      <c r="L87">
        <v>2024</v>
      </c>
    </row>
    <row r="88" spans="7:15" x14ac:dyDescent="0.25">
      <c r="G88" t="s">
        <v>31</v>
      </c>
      <c r="H88">
        <v>959</v>
      </c>
      <c r="I88">
        <v>2092.7199999999998</v>
      </c>
      <c r="J88">
        <v>2.1800000000000002</v>
      </c>
      <c r="K88" t="s">
        <v>8</v>
      </c>
      <c r="L88">
        <v>2024</v>
      </c>
    </row>
    <row r="89" spans="7:15" x14ac:dyDescent="0.25">
      <c r="G89" t="s">
        <v>29</v>
      </c>
      <c r="H89">
        <v>993</v>
      </c>
      <c r="I89">
        <v>2549.7199999999998</v>
      </c>
      <c r="J89">
        <v>2.57</v>
      </c>
      <c r="K89" t="s">
        <v>8</v>
      </c>
      <c r="L89">
        <v>2024</v>
      </c>
    </row>
    <row r="90" spans="7:15" x14ac:dyDescent="0.25">
      <c r="G90" t="s">
        <v>30</v>
      </c>
      <c r="H90">
        <v>1060</v>
      </c>
      <c r="I90">
        <v>2123.5</v>
      </c>
      <c r="J90">
        <v>2</v>
      </c>
      <c r="K90" t="s">
        <v>39</v>
      </c>
      <c r="L90">
        <v>2024</v>
      </c>
    </row>
    <row r="91" spans="7:15" x14ac:dyDescent="0.25">
      <c r="G91" t="s">
        <v>31</v>
      </c>
      <c r="H91">
        <v>1060</v>
      </c>
      <c r="I91">
        <v>2448.83</v>
      </c>
      <c r="J91">
        <v>2.3199999999999998</v>
      </c>
      <c r="K91" t="s">
        <v>39</v>
      </c>
      <c r="L91">
        <v>2024</v>
      </c>
    </row>
    <row r="92" spans="7:15" x14ac:dyDescent="0.25">
      <c r="G92" t="s">
        <v>29</v>
      </c>
      <c r="H92">
        <v>1089</v>
      </c>
      <c r="I92">
        <v>2816.6</v>
      </c>
      <c r="J92">
        <v>2.58</v>
      </c>
      <c r="K92" t="s">
        <v>39</v>
      </c>
      <c r="L92">
        <v>2024</v>
      </c>
    </row>
    <row r="93" spans="7:15" x14ac:dyDescent="0.25">
      <c r="G93" t="s">
        <v>30</v>
      </c>
      <c r="H93">
        <v>1104</v>
      </c>
      <c r="I93">
        <v>2228.0300000000002</v>
      </c>
      <c r="J93">
        <v>2.02</v>
      </c>
      <c r="K93" t="s">
        <v>6</v>
      </c>
      <c r="L93">
        <v>2024</v>
      </c>
    </row>
    <row r="94" spans="7:15" x14ac:dyDescent="0.25">
      <c r="G94" t="s">
        <v>31</v>
      </c>
      <c r="H94">
        <v>1123</v>
      </c>
      <c r="I94">
        <v>2479.08</v>
      </c>
      <c r="J94">
        <v>2.2000000000000002</v>
      </c>
      <c r="K94" t="s">
        <v>6</v>
      </c>
      <c r="L94">
        <v>2024</v>
      </c>
    </row>
    <row r="95" spans="7:15" x14ac:dyDescent="0.25">
      <c r="G95" t="s">
        <v>29</v>
      </c>
      <c r="H95">
        <v>1148</v>
      </c>
      <c r="I95">
        <v>2962.95</v>
      </c>
      <c r="J95">
        <v>2.58</v>
      </c>
      <c r="K95" t="s">
        <v>6</v>
      </c>
      <c r="L95">
        <v>2024</v>
      </c>
    </row>
    <row r="96" spans="7:15" x14ac:dyDescent="0.25">
      <c r="G96" t="s">
        <v>30</v>
      </c>
      <c r="H96">
        <v>1202</v>
      </c>
      <c r="I96">
        <v>2436.13</v>
      </c>
      <c r="J96">
        <v>2.0299999999999998</v>
      </c>
      <c r="K96" t="s">
        <v>5</v>
      </c>
      <c r="L96">
        <v>2024</v>
      </c>
    </row>
    <row r="97" spans="7:12" x14ac:dyDescent="0.25">
      <c r="G97" t="s">
        <v>31</v>
      </c>
      <c r="H97">
        <v>1049</v>
      </c>
      <c r="I97">
        <v>2205.27</v>
      </c>
      <c r="J97">
        <v>2.1</v>
      </c>
      <c r="K97" t="s">
        <v>5</v>
      </c>
      <c r="L97">
        <v>2024</v>
      </c>
    </row>
    <row r="98" spans="7:12" x14ac:dyDescent="0.25">
      <c r="G98" t="s">
        <v>29</v>
      </c>
      <c r="H98">
        <v>1074</v>
      </c>
      <c r="I98">
        <v>2485.0500000000002</v>
      </c>
      <c r="J98">
        <v>2.3199999999999998</v>
      </c>
      <c r="K98" t="s">
        <v>5</v>
      </c>
      <c r="L98">
        <v>2024</v>
      </c>
    </row>
    <row r="99" spans="7:12" x14ac:dyDescent="0.25">
      <c r="G99" t="s">
        <v>30</v>
      </c>
      <c r="H99">
        <v>1000</v>
      </c>
      <c r="I99">
        <v>1819.7</v>
      </c>
      <c r="J99">
        <v>1.82</v>
      </c>
      <c r="K99" t="s">
        <v>4</v>
      </c>
      <c r="L99">
        <v>2024</v>
      </c>
    </row>
    <row r="100" spans="7:12" x14ac:dyDescent="0.25">
      <c r="G100" t="s">
        <v>31</v>
      </c>
      <c r="H100">
        <v>857</v>
      </c>
      <c r="I100">
        <v>1867.02</v>
      </c>
      <c r="J100">
        <v>2.1800000000000002</v>
      </c>
      <c r="K100" t="s">
        <v>4</v>
      </c>
      <c r="L100">
        <v>2024</v>
      </c>
    </row>
    <row r="101" spans="7:12" x14ac:dyDescent="0.25">
      <c r="G101" t="s">
        <v>29</v>
      </c>
      <c r="H101">
        <v>891</v>
      </c>
      <c r="I101">
        <v>2173.4299999999998</v>
      </c>
      <c r="J101">
        <v>2.4300000000000002</v>
      </c>
      <c r="K101" t="s">
        <v>4</v>
      </c>
      <c r="L101">
        <v>2024</v>
      </c>
    </row>
    <row r="102" spans="7:12" x14ac:dyDescent="0.25">
      <c r="G102" t="s">
        <v>30</v>
      </c>
      <c r="H102">
        <v>1170</v>
      </c>
      <c r="I102">
        <v>2221.98</v>
      </c>
      <c r="J102">
        <v>1.9</v>
      </c>
      <c r="K102" t="s">
        <v>2</v>
      </c>
      <c r="L102">
        <v>2024</v>
      </c>
    </row>
    <row r="103" spans="7:12" x14ac:dyDescent="0.25">
      <c r="G103" t="s">
        <v>31</v>
      </c>
      <c r="H103">
        <v>1067</v>
      </c>
      <c r="I103">
        <v>2412.3200000000002</v>
      </c>
      <c r="J103">
        <v>2.27</v>
      </c>
      <c r="K103" t="s">
        <v>2</v>
      </c>
      <c r="L103">
        <v>2024</v>
      </c>
    </row>
    <row r="104" spans="7:12" x14ac:dyDescent="0.25">
      <c r="G104" t="s">
        <v>29</v>
      </c>
      <c r="H104">
        <v>1102</v>
      </c>
      <c r="I104">
        <v>2537.2199999999998</v>
      </c>
      <c r="J104">
        <v>2.2999999999999998</v>
      </c>
      <c r="K104" t="s">
        <v>2</v>
      </c>
      <c r="L104">
        <v>2024</v>
      </c>
    </row>
    <row r="105" spans="7:12" x14ac:dyDescent="0.25">
      <c r="G105" t="s">
        <v>30</v>
      </c>
      <c r="H105">
        <v>1284</v>
      </c>
      <c r="I105">
        <v>3165.63</v>
      </c>
      <c r="J105">
        <v>2.4700000000000002</v>
      </c>
      <c r="K105" t="s">
        <v>3</v>
      </c>
      <c r="L105">
        <v>2024</v>
      </c>
    </row>
    <row r="106" spans="7:12" x14ac:dyDescent="0.25">
      <c r="G106" t="s">
        <v>31</v>
      </c>
      <c r="H106">
        <v>876</v>
      </c>
      <c r="I106">
        <v>2170.4699999999998</v>
      </c>
      <c r="J106">
        <v>2.48</v>
      </c>
      <c r="K106" t="s">
        <v>3</v>
      </c>
      <c r="L106">
        <v>2024</v>
      </c>
    </row>
    <row r="107" spans="7:12" x14ac:dyDescent="0.25">
      <c r="G107" t="s">
        <v>29</v>
      </c>
      <c r="H107">
        <v>1193</v>
      </c>
      <c r="I107">
        <v>3077.5</v>
      </c>
      <c r="J107">
        <v>2.58</v>
      </c>
      <c r="K107" t="s">
        <v>3</v>
      </c>
      <c r="L107">
        <v>2024</v>
      </c>
    </row>
    <row r="108" spans="7:12" x14ac:dyDescent="0.25">
      <c r="G108" t="s">
        <v>30</v>
      </c>
      <c r="H108">
        <v>1254</v>
      </c>
      <c r="I108">
        <v>3125.73</v>
      </c>
      <c r="J108">
        <v>2.5</v>
      </c>
      <c r="K108" t="s">
        <v>15</v>
      </c>
      <c r="L108">
        <v>2024</v>
      </c>
    </row>
    <row r="109" spans="7:12" x14ac:dyDescent="0.25">
      <c r="G109" t="s">
        <v>31</v>
      </c>
      <c r="H109">
        <v>1067</v>
      </c>
      <c r="I109">
        <v>2407.1</v>
      </c>
      <c r="J109">
        <v>2.25</v>
      </c>
      <c r="K109" t="s">
        <v>15</v>
      </c>
      <c r="L109">
        <v>2024</v>
      </c>
    </row>
    <row r="110" spans="7:12" x14ac:dyDescent="0.25">
      <c r="G110" t="s">
        <v>29</v>
      </c>
      <c r="H110">
        <v>1170</v>
      </c>
      <c r="I110">
        <v>3141.75</v>
      </c>
      <c r="J110">
        <v>2.68</v>
      </c>
      <c r="K110" t="s">
        <v>15</v>
      </c>
      <c r="L110">
        <v>2024</v>
      </c>
    </row>
    <row r="111" spans="7:12" x14ac:dyDescent="0.25">
      <c r="G111" t="s">
        <v>30</v>
      </c>
      <c r="H111">
        <v>1591</v>
      </c>
      <c r="I111">
        <v>3640.68</v>
      </c>
      <c r="J111">
        <v>2.2799999999999998</v>
      </c>
      <c r="K111" t="s">
        <v>14</v>
      </c>
      <c r="L111">
        <v>2024</v>
      </c>
    </row>
    <row r="112" spans="7:12" x14ac:dyDescent="0.25">
      <c r="G112" t="s">
        <v>29</v>
      </c>
      <c r="H112">
        <v>1787</v>
      </c>
      <c r="I112">
        <v>4233.6499999999996</v>
      </c>
      <c r="J112">
        <v>2.37</v>
      </c>
      <c r="K112" t="s">
        <v>14</v>
      </c>
      <c r="L112">
        <v>2024</v>
      </c>
    </row>
    <row r="113" spans="7:12" x14ac:dyDescent="0.25">
      <c r="G113" t="s">
        <v>30</v>
      </c>
      <c r="H113">
        <v>1408</v>
      </c>
      <c r="I113">
        <v>3306.53</v>
      </c>
      <c r="J113">
        <v>2.35</v>
      </c>
      <c r="K113" t="s">
        <v>13</v>
      </c>
      <c r="L113">
        <v>2024</v>
      </c>
    </row>
    <row r="114" spans="7:12" x14ac:dyDescent="0.25">
      <c r="G114" t="s">
        <v>31</v>
      </c>
      <c r="H114">
        <v>1131</v>
      </c>
      <c r="I114">
        <v>2735.42</v>
      </c>
      <c r="J114">
        <v>2.42</v>
      </c>
      <c r="K114" t="s">
        <v>13</v>
      </c>
      <c r="L114">
        <v>2024</v>
      </c>
    </row>
    <row r="115" spans="7:12" x14ac:dyDescent="0.25">
      <c r="G115" t="s">
        <v>29</v>
      </c>
      <c r="H115">
        <v>61</v>
      </c>
      <c r="I115">
        <v>129.1</v>
      </c>
      <c r="J115">
        <v>2.12</v>
      </c>
      <c r="K115" t="s">
        <v>13</v>
      </c>
      <c r="L115">
        <v>2024</v>
      </c>
    </row>
    <row r="116" spans="7:12" x14ac:dyDescent="0.25">
      <c r="G116" t="s">
        <v>31</v>
      </c>
      <c r="H116">
        <v>1053</v>
      </c>
      <c r="I116">
        <v>2425.25</v>
      </c>
      <c r="J116">
        <v>2.2999999999999998</v>
      </c>
      <c r="K116" t="s">
        <v>12</v>
      </c>
      <c r="L116">
        <v>2024</v>
      </c>
    </row>
    <row r="117" spans="7:12" x14ac:dyDescent="0.25">
      <c r="G117" t="s">
        <v>29</v>
      </c>
      <c r="H117">
        <v>1015</v>
      </c>
      <c r="I117">
        <v>2389.9</v>
      </c>
      <c r="J117">
        <v>2.35</v>
      </c>
      <c r="K117" t="s">
        <v>12</v>
      </c>
      <c r="L117">
        <v>2024</v>
      </c>
    </row>
    <row r="118" spans="7:12" x14ac:dyDescent="0.25">
      <c r="G118" s="16" t="s">
        <v>0</v>
      </c>
      <c r="H118" s="16">
        <v>1831</v>
      </c>
      <c r="I118" s="17">
        <f>60*31+29</f>
        <v>1889</v>
      </c>
      <c r="J118" s="16">
        <f>60*1+2</f>
        <v>62</v>
      </c>
      <c r="K118" t="s">
        <v>9</v>
      </c>
      <c r="L118">
        <v>2025</v>
      </c>
    </row>
    <row r="119" spans="7:12" x14ac:dyDescent="0.25">
      <c r="G119" s="16" t="s">
        <v>30</v>
      </c>
      <c r="H119" s="16">
        <v>1454</v>
      </c>
      <c r="I119" s="17">
        <f>60*47+4</f>
        <v>2824</v>
      </c>
      <c r="J119" s="16">
        <f>60*1+57</f>
        <v>117</v>
      </c>
      <c r="K119" t="s">
        <v>9</v>
      </c>
      <c r="L119">
        <v>2025</v>
      </c>
    </row>
    <row r="120" spans="7:12" x14ac:dyDescent="0.25">
      <c r="G120" t="s">
        <v>29</v>
      </c>
      <c r="H120" s="16">
        <v>1409</v>
      </c>
      <c r="I120" s="17">
        <f>60*51+33</f>
        <v>3093</v>
      </c>
      <c r="J120" s="16">
        <f>60*2+12</f>
        <v>132</v>
      </c>
      <c r="K120" t="s">
        <v>9</v>
      </c>
      <c r="L120">
        <v>2025</v>
      </c>
    </row>
    <row r="121" spans="7:12" x14ac:dyDescent="0.25">
      <c r="G121" s="16" t="s">
        <v>31</v>
      </c>
      <c r="H121" s="16">
        <v>1230</v>
      </c>
      <c r="I121" s="17">
        <f>60*42+15</f>
        <v>2535</v>
      </c>
      <c r="J121" s="13">
        <f>60*2+4</f>
        <v>124</v>
      </c>
      <c r="K121" t="s">
        <v>9</v>
      </c>
      <c r="L121">
        <v>2025</v>
      </c>
    </row>
    <row r="122" spans="7:12" x14ac:dyDescent="0.25">
      <c r="G122" s="16" t="s">
        <v>0</v>
      </c>
      <c r="H122" s="16">
        <v>1228</v>
      </c>
      <c r="I122" s="17">
        <f>60*22+31</f>
        <v>1351</v>
      </c>
      <c r="J122" s="13">
        <f>60*1+6</f>
        <v>66</v>
      </c>
      <c r="K122" t="s">
        <v>8</v>
      </c>
      <c r="L122">
        <v>2025</v>
      </c>
    </row>
    <row r="123" spans="7:12" x14ac:dyDescent="0.25">
      <c r="G123" s="16" t="s">
        <v>30</v>
      </c>
      <c r="H123" s="16">
        <v>1219</v>
      </c>
      <c r="I123" s="17">
        <f>60*35+19</f>
        <v>2119</v>
      </c>
      <c r="J123" s="13">
        <f>60*1+44</f>
        <v>104</v>
      </c>
      <c r="K123" t="s">
        <v>8</v>
      </c>
      <c r="L123">
        <v>2025</v>
      </c>
    </row>
    <row r="124" spans="7:12" x14ac:dyDescent="0.25">
      <c r="G124" t="s">
        <v>29</v>
      </c>
      <c r="H124" s="16">
        <v>1108</v>
      </c>
      <c r="I124" s="17">
        <f>60*39+3</f>
        <v>2343</v>
      </c>
      <c r="J124" s="13">
        <f>60*2+7</f>
        <v>127</v>
      </c>
      <c r="K124" t="s">
        <v>8</v>
      </c>
      <c r="L124">
        <v>2025</v>
      </c>
    </row>
    <row r="125" spans="7:12" x14ac:dyDescent="0.25">
      <c r="G125" s="16" t="s">
        <v>31</v>
      </c>
      <c r="H125" s="16">
        <v>1061</v>
      </c>
      <c r="I125" s="17">
        <f>60*33+36</f>
        <v>2016</v>
      </c>
      <c r="J125" s="13">
        <f>60*1+54</f>
        <v>114</v>
      </c>
      <c r="K125" t="s">
        <v>8</v>
      </c>
      <c r="L125">
        <v>2025</v>
      </c>
    </row>
    <row r="126" spans="7:12" x14ac:dyDescent="0.25">
      <c r="G126" s="16" t="s">
        <v>0</v>
      </c>
      <c r="H126" s="17">
        <v>1497</v>
      </c>
      <c r="I126" s="17">
        <f>60*26+6</f>
        <v>1566</v>
      </c>
      <c r="J126" s="13">
        <f>60*1+3</f>
        <v>63</v>
      </c>
      <c r="K126" t="s">
        <v>7</v>
      </c>
      <c r="L126">
        <v>2025</v>
      </c>
    </row>
    <row r="127" spans="7:12" x14ac:dyDescent="0.25">
      <c r="G127" s="16" t="s">
        <v>30</v>
      </c>
      <c r="H127" s="17">
        <v>1179</v>
      </c>
      <c r="I127" s="17">
        <f>60*35+23</f>
        <v>2123</v>
      </c>
      <c r="J127" s="13">
        <f>60*1+49</f>
        <v>109</v>
      </c>
      <c r="K127" t="s">
        <v>7</v>
      </c>
      <c r="L127">
        <v>2025</v>
      </c>
    </row>
    <row r="128" spans="7:12" x14ac:dyDescent="0.25">
      <c r="G128" t="s">
        <v>29</v>
      </c>
      <c r="H128" s="17">
        <v>1092</v>
      </c>
      <c r="I128" s="17">
        <f>60*39+54</f>
        <v>2394</v>
      </c>
      <c r="J128" s="13">
        <f>60*2+12</f>
        <v>132</v>
      </c>
      <c r="K128" t="s">
        <v>7</v>
      </c>
      <c r="L128">
        <v>2025</v>
      </c>
    </row>
    <row r="129" spans="7:12" x14ac:dyDescent="0.25">
      <c r="G129" s="16" t="s">
        <v>31</v>
      </c>
      <c r="H129" s="17">
        <v>1016</v>
      </c>
      <c r="I129" s="17">
        <f>60*33+27</f>
        <v>2007</v>
      </c>
      <c r="J129" s="13">
        <f>60*1+59</f>
        <v>119</v>
      </c>
      <c r="K129" t="s">
        <v>7</v>
      </c>
      <c r="L129">
        <v>2025</v>
      </c>
    </row>
    <row r="130" spans="7:12" x14ac:dyDescent="0.25">
      <c r="G130" s="16" t="s">
        <v>0</v>
      </c>
      <c r="H130">
        <v>1687</v>
      </c>
      <c r="I130">
        <f>60*29+45</f>
        <v>1785</v>
      </c>
      <c r="J130">
        <f>60*1+4</f>
        <v>64</v>
      </c>
      <c r="K130" t="s">
        <v>6</v>
      </c>
      <c r="L130">
        <v>2025</v>
      </c>
    </row>
    <row r="131" spans="7:12" x14ac:dyDescent="0.25">
      <c r="G131" s="16" t="s">
        <v>30</v>
      </c>
      <c r="H131">
        <v>1425</v>
      </c>
      <c r="I131">
        <f>60*37+53</f>
        <v>2273</v>
      </c>
      <c r="J131">
        <f>60*1+36</f>
        <v>96</v>
      </c>
      <c r="K131" t="s">
        <v>6</v>
      </c>
      <c r="L131">
        <v>2025</v>
      </c>
    </row>
    <row r="132" spans="7:12" x14ac:dyDescent="0.25">
      <c r="G132" t="s">
        <v>29</v>
      </c>
      <c r="H132">
        <v>1325</v>
      </c>
      <c r="I132">
        <f>60*42+59</f>
        <v>2579</v>
      </c>
      <c r="J132">
        <f>60*1+57</f>
        <v>117</v>
      </c>
      <c r="K132" t="s">
        <v>6</v>
      </c>
      <c r="L132">
        <v>2025</v>
      </c>
    </row>
    <row r="133" spans="7:12" x14ac:dyDescent="0.25">
      <c r="G133" s="16" t="s">
        <v>31</v>
      </c>
      <c r="H133">
        <v>1217</v>
      </c>
      <c r="I133">
        <f>60*37+27</f>
        <v>2247</v>
      </c>
      <c r="J133">
        <f>60*1+51</f>
        <v>111</v>
      </c>
      <c r="K133" t="s">
        <v>6</v>
      </c>
      <c r="L133">
        <v>2025</v>
      </c>
    </row>
    <row r="134" spans="7:12" x14ac:dyDescent="0.25">
      <c r="G134" s="16" t="s">
        <v>0</v>
      </c>
      <c r="H134" s="13">
        <v>1429</v>
      </c>
      <c r="I134" s="13">
        <f>60*26+16</f>
        <v>1576</v>
      </c>
      <c r="J134" s="13">
        <f>60*1+6</f>
        <v>66</v>
      </c>
      <c r="K134" t="s">
        <v>5</v>
      </c>
      <c r="L134">
        <v>2025</v>
      </c>
    </row>
    <row r="135" spans="7:12" x14ac:dyDescent="0.25">
      <c r="G135" s="16" t="s">
        <v>30</v>
      </c>
      <c r="H135" s="13">
        <v>1266</v>
      </c>
      <c r="I135" s="13">
        <f>60*38+17</f>
        <v>2297</v>
      </c>
      <c r="J135" s="13">
        <f>60*1+49</f>
        <v>109</v>
      </c>
      <c r="K135" t="s">
        <v>5</v>
      </c>
      <c r="L135">
        <v>2025</v>
      </c>
    </row>
    <row r="136" spans="7:12" x14ac:dyDescent="0.25">
      <c r="G136" t="s">
        <v>29</v>
      </c>
      <c r="H136" s="13">
        <v>1173</v>
      </c>
      <c r="I136" s="13">
        <f>60*39+28</f>
        <v>2368</v>
      </c>
      <c r="J136" s="13">
        <f>60*2+1</f>
        <v>121</v>
      </c>
      <c r="K136" t="s">
        <v>5</v>
      </c>
      <c r="L136">
        <v>2025</v>
      </c>
    </row>
    <row r="137" spans="7:12" x14ac:dyDescent="0.25">
      <c r="G137" s="16" t="s">
        <v>31</v>
      </c>
      <c r="H137" s="13">
        <v>1118</v>
      </c>
      <c r="I137" s="13">
        <f>60*33+52</f>
        <v>2032</v>
      </c>
      <c r="J137" s="13">
        <f>60*1+49</f>
        <v>109</v>
      </c>
      <c r="K137" t="s">
        <v>5</v>
      </c>
      <c r="L137">
        <v>2025</v>
      </c>
    </row>
    <row r="138" spans="7:12" x14ac:dyDescent="0.25">
      <c r="G138" s="16" t="s">
        <v>32</v>
      </c>
      <c r="H138" s="13">
        <v>963</v>
      </c>
      <c r="I138" s="13">
        <f>60*50+1</f>
        <v>3001</v>
      </c>
      <c r="J138" s="13">
        <f>60*3+7</f>
        <v>187</v>
      </c>
      <c r="K138" t="s">
        <v>5</v>
      </c>
      <c r="L138">
        <v>2025</v>
      </c>
    </row>
    <row r="139" spans="7:12" x14ac:dyDescent="0.25">
      <c r="G139" t="s">
        <v>28</v>
      </c>
      <c r="H139" s="13">
        <v>19</v>
      </c>
      <c r="I139" s="13">
        <f>60*53+42</f>
        <v>3222</v>
      </c>
      <c r="J139" s="13">
        <f>60*2+50</f>
        <v>170</v>
      </c>
      <c r="K139" t="s">
        <v>5</v>
      </c>
      <c r="L139">
        <v>2025</v>
      </c>
    </row>
    <row r="140" spans="7:12" x14ac:dyDescent="0.25">
      <c r="G140" t="s">
        <v>29</v>
      </c>
      <c r="H140">
        <v>1027</v>
      </c>
      <c r="I140">
        <v>2321</v>
      </c>
      <c r="J140">
        <v>136</v>
      </c>
      <c r="K140" t="s">
        <v>4</v>
      </c>
      <c r="L140">
        <v>2025</v>
      </c>
    </row>
    <row r="141" spans="7:12" x14ac:dyDescent="0.25">
      <c r="G141" s="16" t="s">
        <v>30</v>
      </c>
      <c r="H141">
        <v>1137</v>
      </c>
      <c r="I141">
        <v>2447</v>
      </c>
      <c r="J141">
        <v>129</v>
      </c>
      <c r="K141" t="s">
        <v>4</v>
      </c>
      <c r="L141">
        <v>2025</v>
      </c>
    </row>
    <row r="142" spans="7:12" x14ac:dyDescent="0.25">
      <c r="G142" s="16" t="s">
        <v>31</v>
      </c>
      <c r="H142">
        <v>900</v>
      </c>
      <c r="I142">
        <v>1898</v>
      </c>
      <c r="J142">
        <v>127</v>
      </c>
      <c r="K142" t="s">
        <v>4</v>
      </c>
      <c r="L142">
        <v>2025</v>
      </c>
    </row>
    <row r="143" spans="7:12" x14ac:dyDescent="0.25">
      <c r="G143" s="16" t="s">
        <v>32</v>
      </c>
      <c r="H143">
        <v>1011</v>
      </c>
      <c r="I143">
        <v>2902</v>
      </c>
      <c r="J143">
        <v>172</v>
      </c>
      <c r="K143" t="s">
        <v>4</v>
      </c>
      <c r="L143">
        <v>2025</v>
      </c>
    </row>
    <row r="144" spans="7:12" x14ac:dyDescent="0.25">
      <c r="G144" t="s">
        <v>28</v>
      </c>
      <c r="H144">
        <v>76</v>
      </c>
      <c r="I144">
        <v>308</v>
      </c>
      <c r="J144">
        <v>243</v>
      </c>
      <c r="K144" t="s">
        <v>4</v>
      </c>
      <c r="L144">
        <v>2025</v>
      </c>
    </row>
    <row r="145" spans="7:12" x14ac:dyDescent="0.25">
      <c r="G145" t="s">
        <v>29</v>
      </c>
      <c r="H145">
        <v>1368</v>
      </c>
      <c r="I145">
        <v>3222</v>
      </c>
      <c r="J145">
        <v>141</v>
      </c>
      <c r="K145" t="s">
        <v>2</v>
      </c>
      <c r="L145">
        <v>2025</v>
      </c>
    </row>
    <row r="146" spans="7:12" x14ac:dyDescent="0.25">
      <c r="G146" s="16" t="s">
        <v>30</v>
      </c>
      <c r="H146">
        <v>1486</v>
      </c>
      <c r="I146">
        <v>3058</v>
      </c>
      <c r="J146">
        <v>123</v>
      </c>
      <c r="K146" t="s">
        <v>2</v>
      </c>
      <c r="L146">
        <v>2025</v>
      </c>
    </row>
    <row r="147" spans="7:12" x14ac:dyDescent="0.25">
      <c r="G147" s="16" t="s">
        <v>31</v>
      </c>
      <c r="H147">
        <v>1272</v>
      </c>
      <c r="I147">
        <v>2661</v>
      </c>
      <c r="J147">
        <v>126</v>
      </c>
      <c r="K147" t="s">
        <v>2</v>
      </c>
      <c r="L147">
        <v>2025</v>
      </c>
    </row>
    <row r="148" spans="7:12" x14ac:dyDescent="0.25">
      <c r="G148" s="16" t="s">
        <v>32</v>
      </c>
      <c r="H148">
        <v>1406</v>
      </c>
      <c r="I148">
        <v>3331</v>
      </c>
      <c r="J148">
        <v>142</v>
      </c>
      <c r="K148" t="s">
        <v>2</v>
      </c>
      <c r="L148">
        <v>2025</v>
      </c>
    </row>
    <row r="149" spans="7:12" x14ac:dyDescent="0.25">
      <c r="G149" t="s">
        <v>29</v>
      </c>
      <c r="H149">
        <v>1315</v>
      </c>
      <c r="I149">
        <v>2924</v>
      </c>
      <c r="J149">
        <f>60*2+13</f>
        <v>133</v>
      </c>
      <c r="K149" t="s">
        <v>3</v>
      </c>
      <c r="L149">
        <v>2025</v>
      </c>
    </row>
    <row r="150" spans="7:12" x14ac:dyDescent="0.25">
      <c r="G150" s="16" t="s">
        <v>30</v>
      </c>
      <c r="H150">
        <v>1418</v>
      </c>
      <c r="I150">
        <v>2911</v>
      </c>
      <c r="J150">
        <f>60*2+3</f>
        <v>123</v>
      </c>
      <c r="K150" t="s">
        <v>3</v>
      </c>
      <c r="L150">
        <v>2025</v>
      </c>
    </row>
    <row r="151" spans="7:12" x14ac:dyDescent="0.25">
      <c r="G151" s="16" t="s">
        <v>31</v>
      </c>
      <c r="H151">
        <v>1168</v>
      </c>
      <c r="I151">
        <v>2438</v>
      </c>
      <c r="J151">
        <f>60*2+5</f>
        <v>125</v>
      </c>
      <c r="K151" t="s">
        <v>3</v>
      </c>
      <c r="L151">
        <v>2025</v>
      </c>
    </row>
    <row r="152" spans="7:12" x14ac:dyDescent="0.25">
      <c r="G152" s="16" t="s">
        <v>32</v>
      </c>
      <c r="H152">
        <v>1327</v>
      </c>
      <c r="I152">
        <v>3183</v>
      </c>
      <c r="J152">
        <f>60*2+24</f>
        <v>144</v>
      </c>
      <c r="K152" t="s">
        <v>3</v>
      </c>
      <c r="L152">
        <v>2025</v>
      </c>
    </row>
    <row r="153" spans="7:12" x14ac:dyDescent="0.25">
      <c r="G153" t="s">
        <v>29</v>
      </c>
      <c r="H153">
        <v>1364</v>
      </c>
      <c r="I153">
        <v>3223</v>
      </c>
      <c r="J153">
        <v>142</v>
      </c>
      <c r="K153" t="s">
        <v>15</v>
      </c>
      <c r="L153">
        <v>2025</v>
      </c>
    </row>
    <row r="154" spans="7:12" x14ac:dyDescent="0.25">
      <c r="G154" s="16" t="s">
        <v>30</v>
      </c>
      <c r="H154" s="17">
        <v>1450</v>
      </c>
      <c r="I154" s="17">
        <v>3142</v>
      </c>
      <c r="J154" s="13">
        <v>130</v>
      </c>
      <c r="K154" t="s">
        <v>15</v>
      </c>
      <c r="L154">
        <v>2025</v>
      </c>
    </row>
    <row r="155" spans="7:12" x14ac:dyDescent="0.25">
      <c r="G155" s="16" t="s">
        <v>31</v>
      </c>
      <c r="H155" s="17">
        <v>1294</v>
      </c>
      <c r="I155" s="17">
        <v>2711</v>
      </c>
      <c r="J155" s="13">
        <v>126</v>
      </c>
      <c r="K155" t="s">
        <v>15</v>
      </c>
      <c r="L155">
        <v>2025</v>
      </c>
    </row>
    <row r="156" spans="7:12" x14ac:dyDescent="0.25">
      <c r="G156" s="16" t="s">
        <v>32</v>
      </c>
      <c r="H156" s="17">
        <v>1339</v>
      </c>
      <c r="I156" s="17">
        <v>3406</v>
      </c>
      <c r="J156" s="13">
        <v>153</v>
      </c>
      <c r="K156" t="s">
        <v>15</v>
      </c>
      <c r="L156">
        <v>2025</v>
      </c>
    </row>
    <row r="157" spans="7:12" x14ac:dyDescent="0.25">
      <c r="G157" t="s">
        <v>29</v>
      </c>
      <c r="H157" s="17">
        <v>1546</v>
      </c>
      <c r="I157" s="17">
        <v>3674</v>
      </c>
      <c r="J157" s="13">
        <v>2</v>
      </c>
      <c r="K157" t="s">
        <v>14</v>
      </c>
      <c r="L157">
        <v>2025</v>
      </c>
    </row>
    <row r="158" spans="7:12" x14ac:dyDescent="0.25">
      <c r="G158" s="16" t="s">
        <v>30</v>
      </c>
      <c r="H158" s="17">
        <v>1672</v>
      </c>
      <c r="I158" s="17">
        <v>3615</v>
      </c>
      <c r="J158" s="13">
        <v>2</v>
      </c>
      <c r="K158" t="s">
        <v>14</v>
      </c>
      <c r="L158">
        <v>2025</v>
      </c>
    </row>
    <row r="159" spans="7:12" x14ac:dyDescent="0.25">
      <c r="G159" s="16" t="s">
        <v>32</v>
      </c>
      <c r="H159" s="17">
        <v>1662</v>
      </c>
      <c r="I159" s="17">
        <v>4055</v>
      </c>
      <c r="J159" s="13">
        <v>2</v>
      </c>
      <c r="K159" t="s">
        <v>14</v>
      </c>
      <c r="L159">
        <v>2025</v>
      </c>
    </row>
    <row r="160" spans="7:12" x14ac:dyDescent="0.25">
      <c r="G160" s="16" t="s">
        <v>30</v>
      </c>
      <c r="H160">
        <v>1455</v>
      </c>
      <c r="I160">
        <v>2994</v>
      </c>
      <c r="J160">
        <v>123</v>
      </c>
      <c r="K160" t="s">
        <v>13</v>
      </c>
      <c r="L160">
        <v>2025</v>
      </c>
    </row>
    <row r="161" spans="7:12" x14ac:dyDescent="0.25">
      <c r="G161" s="16" t="s">
        <v>31</v>
      </c>
      <c r="H161">
        <v>1324</v>
      </c>
      <c r="I161">
        <v>2984</v>
      </c>
      <c r="J161">
        <v>135</v>
      </c>
      <c r="K161" t="s">
        <v>13</v>
      </c>
      <c r="L161">
        <v>2025</v>
      </c>
    </row>
    <row r="162" spans="7:12" x14ac:dyDescent="0.25">
      <c r="G162" s="16" t="s">
        <v>32</v>
      </c>
      <c r="H162">
        <v>1384</v>
      </c>
      <c r="I162">
        <v>3194</v>
      </c>
      <c r="J162">
        <v>139</v>
      </c>
      <c r="K162" t="s">
        <v>13</v>
      </c>
      <c r="L162">
        <v>2025</v>
      </c>
    </row>
    <row r="163" spans="7:12" x14ac:dyDescent="0.25">
      <c r="G163" t="s">
        <v>29</v>
      </c>
      <c r="H163" s="17">
        <v>1018</v>
      </c>
      <c r="I163" s="17">
        <f>60*43+36</f>
        <v>2616</v>
      </c>
      <c r="J163" s="13">
        <f>60*2+34</f>
        <v>154</v>
      </c>
      <c r="K163" t="s">
        <v>12</v>
      </c>
      <c r="L163">
        <v>2025</v>
      </c>
    </row>
    <row r="164" spans="7:12" x14ac:dyDescent="0.25">
      <c r="G164" s="16" t="s">
        <v>31</v>
      </c>
      <c r="H164" s="17">
        <v>1089</v>
      </c>
      <c r="I164" s="17">
        <f>60*41+34</f>
        <v>2494</v>
      </c>
      <c r="J164" s="13">
        <f>60*2+17</f>
        <v>137</v>
      </c>
      <c r="K164" t="s">
        <v>12</v>
      </c>
      <c r="L164">
        <v>2025</v>
      </c>
    </row>
    <row r="165" spans="7:12" x14ac:dyDescent="0.25">
      <c r="G165" s="16" t="s">
        <v>32</v>
      </c>
      <c r="H165" s="17">
        <v>1356</v>
      </c>
      <c r="I165" s="17">
        <f>60*53+56</f>
        <v>3236</v>
      </c>
      <c r="J165" s="13">
        <f>60*2+23</f>
        <v>143</v>
      </c>
      <c r="K165" t="s">
        <v>12</v>
      </c>
      <c r="L165">
        <v>2025</v>
      </c>
    </row>
    <row r="166" spans="7:12" x14ac:dyDescent="0.25">
      <c r="G166" t="s">
        <v>29</v>
      </c>
      <c r="H166">
        <v>1342</v>
      </c>
      <c r="I166">
        <v>3648</v>
      </c>
      <c r="J166">
        <v>2.72</v>
      </c>
      <c r="K166" t="s">
        <v>9</v>
      </c>
      <c r="L166">
        <v>2026</v>
      </c>
    </row>
    <row r="167" spans="7:12" x14ac:dyDescent="0.25">
      <c r="G167" s="16" t="s">
        <v>30</v>
      </c>
      <c r="H167">
        <v>1378</v>
      </c>
      <c r="I167">
        <v>3032</v>
      </c>
      <c r="J167">
        <v>2.2000000000000002</v>
      </c>
      <c r="K167" t="s">
        <v>9</v>
      </c>
      <c r="L167">
        <v>2026</v>
      </c>
    </row>
    <row r="168" spans="7:12" x14ac:dyDescent="0.25">
      <c r="G168" s="16" t="s">
        <v>31</v>
      </c>
      <c r="H168">
        <v>1380</v>
      </c>
      <c r="I168">
        <v>3317</v>
      </c>
      <c r="J168">
        <v>2.4</v>
      </c>
      <c r="K168" t="s">
        <v>9</v>
      </c>
      <c r="L168">
        <v>2026</v>
      </c>
    </row>
    <row r="169" spans="7:12" x14ac:dyDescent="0.25">
      <c r="G169" s="16" t="s">
        <v>32</v>
      </c>
      <c r="H169">
        <v>1323</v>
      </c>
      <c r="I169">
        <v>3302</v>
      </c>
      <c r="J169">
        <v>2.5</v>
      </c>
      <c r="K169" t="s">
        <v>9</v>
      </c>
      <c r="L169">
        <v>2026</v>
      </c>
    </row>
    <row r="170" spans="7:12" x14ac:dyDescent="0.25">
      <c r="G170" t="s">
        <v>29</v>
      </c>
      <c r="H170" s="25">
        <v>961</v>
      </c>
      <c r="I170" s="22">
        <v>2534.52</v>
      </c>
      <c r="J170" s="22">
        <v>2.63</v>
      </c>
      <c r="K170" t="s">
        <v>8</v>
      </c>
      <c r="L170">
        <v>2026</v>
      </c>
    </row>
    <row r="171" spans="7:12" x14ac:dyDescent="0.25">
      <c r="G171" s="16" t="s">
        <v>30</v>
      </c>
      <c r="H171" s="25">
        <v>1006</v>
      </c>
      <c r="I171" s="22">
        <v>2312.9699999999998</v>
      </c>
      <c r="J171" s="22">
        <v>2.2999999999999998</v>
      </c>
      <c r="K171" t="s">
        <v>8</v>
      </c>
      <c r="L171">
        <v>2026</v>
      </c>
    </row>
    <row r="172" spans="7:12" x14ac:dyDescent="0.25">
      <c r="G172" s="16" t="s">
        <v>31</v>
      </c>
      <c r="H172" s="25">
        <v>919</v>
      </c>
      <c r="I172" s="22">
        <v>2193.88</v>
      </c>
      <c r="J172" s="22">
        <v>2.38</v>
      </c>
      <c r="K172" t="s">
        <v>8</v>
      </c>
      <c r="L172">
        <v>2026</v>
      </c>
    </row>
    <row r="173" spans="7:12" x14ac:dyDescent="0.25">
      <c r="G173" s="16" t="s">
        <v>32</v>
      </c>
      <c r="H173" s="25">
        <v>969</v>
      </c>
      <c r="I173" s="22">
        <v>2342.73</v>
      </c>
      <c r="J173" s="22">
        <v>2.42</v>
      </c>
      <c r="K173" t="s">
        <v>8</v>
      </c>
      <c r="L173">
        <v>2026</v>
      </c>
    </row>
    <row r="174" spans="7:12" x14ac:dyDescent="0.25">
      <c r="G174" t="s">
        <v>38</v>
      </c>
      <c r="H174">
        <v>0</v>
      </c>
      <c r="I174">
        <v>0</v>
      </c>
      <c r="J174">
        <v>0</v>
      </c>
      <c r="K174" t="s">
        <v>7</v>
      </c>
      <c r="L174">
        <v>2026</v>
      </c>
    </row>
    <row r="175" spans="7:12" x14ac:dyDescent="0.25">
      <c r="G175" t="s">
        <v>38</v>
      </c>
      <c r="H175">
        <v>0</v>
      </c>
      <c r="I175">
        <v>0</v>
      </c>
      <c r="J175">
        <v>0</v>
      </c>
      <c r="K175" t="s">
        <v>7</v>
      </c>
      <c r="L175">
        <v>2026</v>
      </c>
    </row>
    <row r="176" spans="7:12" x14ac:dyDescent="0.25">
      <c r="G176" t="s">
        <v>29</v>
      </c>
      <c r="H176">
        <v>1245</v>
      </c>
      <c r="I176">
        <v>3261</v>
      </c>
      <c r="J176">
        <v>2.62</v>
      </c>
      <c r="K176" t="s">
        <v>7</v>
      </c>
      <c r="L176">
        <v>2026</v>
      </c>
    </row>
    <row r="177" spans="7:12" x14ac:dyDescent="0.25">
      <c r="G177" s="16" t="s">
        <v>30</v>
      </c>
      <c r="H177">
        <v>1322</v>
      </c>
      <c r="I177">
        <v>2878</v>
      </c>
      <c r="J177">
        <v>2.1800000000000002</v>
      </c>
      <c r="K177" t="s">
        <v>7</v>
      </c>
      <c r="L177">
        <v>2026</v>
      </c>
    </row>
    <row r="178" spans="7:12" x14ac:dyDescent="0.25">
      <c r="G178" s="16" t="s">
        <v>31</v>
      </c>
      <c r="H178">
        <v>1203</v>
      </c>
      <c r="I178">
        <v>2994</v>
      </c>
      <c r="J178">
        <v>2.48</v>
      </c>
      <c r="K178" t="s">
        <v>7</v>
      </c>
      <c r="L178">
        <v>2026</v>
      </c>
    </row>
    <row r="179" spans="7:12" x14ac:dyDescent="0.25">
      <c r="G179" s="16" t="s">
        <v>32</v>
      </c>
      <c r="H179">
        <v>1176</v>
      </c>
      <c r="I179">
        <v>2906</v>
      </c>
      <c r="J179">
        <v>2.4700000000000002</v>
      </c>
      <c r="K179" t="s">
        <v>7</v>
      </c>
      <c r="L179">
        <v>2026</v>
      </c>
    </row>
    <row r="180" spans="7:12" x14ac:dyDescent="0.25">
      <c r="G180" t="s">
        <v>38</v>
      </c>
      <c r="H180">
        <v>0</v>
      </c>
      <c r="I180">
        <v>0</v>
      </c>
      <c r="J180">
        <v>0</v>
      </c>
      <c r="K180" t="s">
        <v>6</v>
      </c>
      <c r="L180">
        <v>2026</v>
      </c>
    </row>
    <row r="181" spans="7:12" x14ac:dyDescent="0.25">
      <c r="G181" t="s">
        <v>38</v>
      </c>
      <c r="H181">
        <v>0</v>
      </c>
      <c r="I181">
        <v>0</v>
      </c>
      <c r="J181">
        <v>0</v>
      </c>
      <c r="K181" t="s">
        <v>6</v>
      </c>
      <c r="L181">
        <v>2026</v>
      </c>
    </row>
    <row r="182" spans="7:12" x14ac:dyDescent="0.25">
      <c r="G182" t="s">
        <v>29</v>
      </c>
      <c r="H182">
        <v>1071</v>
      </c>
      <c r="I182">
        <v>3092</v>
      </c>
      <c r="J182">
        <v>2.88</v>
      </c>
      <c r="K182" t="s">
        <v>6</v>
      </c>
      <c r="L182">
        <v>2026</v>
      </c>
    </row>
    <row r="183" spans="7:12" x14ac:dyDescent="0.25">
      <c r="G183" t="s">
        <v>30</v>
      </c>
      <c r="H183">
        <v>1224</v>
      </c>
      <c r="I183">
        <v>2851</v>
      </c>
      <c r="J183">
        <v>2.33</v>
      </c>
      <c r="K183" t="s">
        <v>6</v>
      </c>
      <c r="L183">
        <v>2026</v>
      </c>
    </row>
    <row r="184" spans="7:12" x14ac:dyDescent="0.25">
      <c r="G184" t="s">
        <v>31</v>
      </c>
      <c r="H184">
        <v>1025</v>
      </c>
      <c r="I184">
        <v>2638</v>
      </c>
      <c r="J184">
        <v>2.57</v>
      </c>
      <c r="K184" t="s">
        <v>6</v>
      </c>
      <c r="L184">
        <v>2026</v>
      </c>
    </row>
    <row r="185" spans="7:12" x14ac:dyDescent="0.25">
      <c r="G185" t="s">
        <v>32</v>
      </c>
      <c r="H185">
        <v>1070</v>
      </c>
      <c r="I185">
        <v>2928</v>
      </c>
      <c r="J185">
        <v>2.73</v>
      </c>
      <c r="K185" t="s">
        <v>6</v>
      </c>
      <c r="L185">
        <v>2026</v>
      </c>
    </row>
    <row r="186" spans="7:12" x14ac:dyDescent="0.25">
      <c r="G186" t="s">
        <v>30</v>
      </c>
      <c r="H186">
        <v>1238</v>
      </c>
      <c r="I186">
        <v>2921.48</v>
      </c>
      <c r="J186">
        <v>2.37</v>
      </c>
      <c r="K186" t="s">
        <v>5</v>
      </c>
      <c r="L186">
        <v>2026</v>
      </c>
    </row>
    <row r="187" spans="7:12" x14ac:dyDescent="0.25">
      <c r="G187" t="s">
        <v>31</v>
      </c>
      <c r="H187">
        <v>1023</v>
      </c>
      <c r="I187">
        <v>2644.5</v>
      </c>
      <c r="J187">
        <v>2.58</v>
      </c>
      <c r="K187" t="s">
        <v>5</v>
      </c>
      <c r="L187">
        <v>2026</v>
      </c>
    </row>
    <row r="188" spans="7:12" x14ac:dyDescent="0.25">
      <c r="G188" t="s">
        <v>38</v>
      </c>
      <c r="H188">
        <v>4</v>
      </c>
      <c r="I188">
        <v>1.08</v>
      </c>
      <c r="J188">
        <v>0.27</v>
      </c>
      <c r="K188" t="s">
        <v>5</v>
      </c>
      <c r="L188">
        <v>2026</v>
      </c>
    </row>
    <row r="189" spans="7:12" x14ac:dyDescent="0.25">
      <c r="G189" t="s">
        <v>29</v>
      </c>
      <c r="H189">
        <v>1108</v>
      </c>
      <c r="I189">
        <v>3119.33</v>
      </c>
      <c r="J189">
        <v>2.82</v>
      </c>
      <c r="K189" t="s">
        <v>5</v>
      </c>
      <c r="L189">
        <v>2026</v>
      </c>
    </row>
    <row r="190" spans="7:12" x14ac:dyDescent="0.25">
      <c r="G190" t="s">
        <v>32</v>
      </c>
      <c r="H190">
        <v>1060</v>
      </c>
      <c r="I190">
        <v>3052.43</v>
      </c>
      <c r="J190">
        <v>2.88</v>
      </c>
      <c r="K190" t="s">
        <v>5</v>
      </c>
      <c r="L190">
        <v>2026</v>
      </c>
    </row>
    <row r="191" spans="7:12" x14ac:dyDescent="0.25">
      <c r="G191" s="16" t="s">
        <v>30</v>
      </c>
      <c r="H191" s="17">
        <v>1078</v>
      </c>
      <c r="I191" s="26">
        <v>2519.3200000000002</v>
      </c>
      <c r="J191" s="13">
        <v>2.33</v>
      </c>
      <c r="K191" t="s">
        <v>4</v>
      </c>
      <c r="L191">
        <v>2026</v>
      </c>
    </row>
    <row r="192" spans="7:12" x14ac:dyDescent="0.25">
      <c r="G192" s="16" t="s">
        <v>31</v>
      </c>
      <c r="H192" s="17">
        <v>893</v>
      </c>
      <c r="I192" s="26">
        <v>2189.88</v>
      </c>
      <c r="J192" s="13">
        <v>2.4500000000000002</v>
      </c>
      <c r="K192" t="s">
        <v>4</v>
      </c>
      <c r="L192">
        <v>2026</v>
      </c>
    </row>
    <row r="193" spans="7:12" x14ac:dyDescent="0.25">
      <c r="G193" s="16" t="s">
        <v>29</v>
      </c>
      <c r="H193" s="17">
        <v>918</v>
      </c>
      <c r="I193" s="26">
        <v>2578.83</v>
      </c>
      <c r="J193" s="13">
        <v>2.82</v>
      </c>
      <c r="K193" t="s">
        <v>4</v>
      </c>
      <c r="L193">
        <v>2026</v>
      </c>
    </row>
    <row r="194" spans="7:12" x14ac:dyDescent="0.25">
      <c r="G194" s="16" t="s">
        <v>32</v>
      </c>
      <c r="H194" s="17">
        <v>858</v>
      </c>
      <c r="I194" s="26">
        <v>2254.92</v>
      </c>
      <c r="J194" s="13">
        <v>2.63</v>
      </c>
      <c r="K194" t="s">
        <v>4</v>
      </c>
      <c r="L194">
        <v>2026</v>
      </c>
    </row>
    <row r="195" spans="7:12" x14ac:dyDescent="0.25">
      <c r="G195" s="16" t="s">
        <v>40</v>
      </c>
      <c r="H195" s="17">
        <v>89</v>
      </c>
      <c r="I195" s="26">
        <v>315.18</v>
      </c>
      <c r="J195" s="13">
        <v>3.53</v>
      </c>
      <c r="K195" t="s">
        <v>2</v>
      </c>
      <c r="L195">
        <v>2026</v>
      </c>
    </row>
    <row r="196" spans="7:12" x14ac:dyDescent="0.25">
      <c r="G196" s="16" t="s">
        <v>30</v>
      </c>
      <c r="H196" s="17">
        <v>1413</v>
      </c>
      <c r="I196" s="26">
        <v>3433.57</v>
      </c>
      <c r="J196" s="13">
        <v>2.4300000000000002</v>
      </c>
      <c r="K196" t="s">
        <v>2</v>
      </c>
      <c r="L196">
        <v>2026</v>
      </c>
    </row>
    <row r="197" spans="7:12" x14ac:dyDescent="0.25">
      <c r="G197" s="16" t="s">
        <v>31</v>
      </c>
      <c r="H197" s="17">
        <v>1290</v>
      </c>
      <c r="I197" s="26">
        <v>3297.85</v>
      </c>
      <c r="J197" s="13">
        <v>2.5499999999999998</v>
      </c>
      <c r="K197" t="s">
        <v>2</v>
      </c>
      <c r="L197">
        <v>2026</v>
      </c>
    </row>
    <row r="198" spans="7:12" x14ac:dyDescent="0.25">
      <c r="G198" s="16" t="s">
        <v>29</v>
      </c>
      <c r="H198" s="17">
        <v>1374</v>
      </c>
      <c r="I198" s="26">
        <v>3722.55</v>
      </c>
      <c r="J198" s="13">
        <v>2.72</v>
      </c>
      <c r="K198" t="s">
        <v>2</v>
      </c>
      <c r="L198">
        <v>2026</v>
      </c>
    </row>
    <row r="199" spans="7:12" x14ac:dyDescent="0.25">
      <c r="G199" s="16" t="s">
        <v>32</v>
      </c>
      <c r="H199" s="17">
        <v>1222</v>
      </c>
      <c r="I199" s="26">
        <v>3235.53</v>
      </c>
      <c r="J199" s="13">
        <v>2.65</v>
      </c>
      <c r="K199" t="s">
        <v>2</v>
      </c>
      <c r="L199">
        <v>2026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8"/>
  <tableParts count="2"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8FFA1A-6A64-4DDE-AA1C-AE07507BC8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CONFIG - 2025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Lemos</dc:creator>
  <cp:lastModifiedBy>Vitor Lima</cp:lastModifiedBy>
  <dcterms:created xsi:type="dcterms:W3CDTF">2024-08-27T13:07:29Z</dcterms:created>
  <dcterms:modified xsi:type="dcterms:W3CDTF">2026-08-04T13:26:31Z</dcterms:modified>
</cp:coreProperties>
</file>