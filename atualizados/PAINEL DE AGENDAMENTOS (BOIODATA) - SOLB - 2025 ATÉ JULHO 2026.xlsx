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Documentos\Clientes\SOLB\DASHBOARDS\PRONTOS\"/>
    </mc:Choice>
  </mc:AlternateContent>
  <xr:revisionPtr revIDLastSave="0" documentId="13_ncr:1_{07E33364-3D5E-434E-AB5F-6A041742C7FF}" xr6:coauthVersionLast="47" xr6:coauthVersionMax="47" xr10:uidLastSave="{00000000-0000-0000-0000-000000000000}"/>
  <bookViews>
    <workbookView xWindow="-120" yWindow="-120" windowWidth="20730" windowHeight="11040" xr2:uid="{F1AD8786-3FC0-4384-87D7-C6B06124D7DF}"/>
  </bookViews>
  <sheets>
    <sheet name="DASHBOARD" sheetId="6" r:id="rId1"/>
    <sheet name="INPUT" sheetId="2" state="hidden" r:id="rId2"/>
  </sheets>
  <definedNames>
    <definedName name="SegmentaçãodeDados_Ano">#N/A</definedName>
    <definedName name="SegmentaçãodeDados_Mês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5" i="2" l="1"/>
  <c r="H71" i="2"/>
  <c r="H66" i="2"/>
  <c r="H70" i="2"/>
  <c r="H68" i="2"/>
  <c r="H67" i="2"/>
  <c r="H64" i="2"/>
  <c r="H65" i="2"/>
  <c r="H73" i="2"/>
  <c r="H72" i="2"/>
  <c r="H69" i="2"/>
  <c r="H74" i="2"/>
  <c r="I72" i="2"/>
  <c r="I71" i="2"/>
  <c r="I73" i="2"/>
  <c r="I75" i="2"/>
  <c r="I65" i="2"/>
  <c r="I64" i="2"/>
  <c r="I67" i="2"/>
  <c r="I68" i="2"/>
  <c r="I74" i="2"/>
  <c r="I70" i="2"/>
  <c r="I69" i="2"/>
  <c r="I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C6700-65AA-4C40-A564-CCEFD2A6D5C6}" keepAlive="1" name="Consulta - 9aacsokpj" description="Conexão com a consulta '9aacsokpj' na pasta de trabalho." type="5" refreshedVersion="7" background="1" saveData="1">
    <dbPr connection="Provider=Microsoft.Mashup.OleDb.1;Data Source=$Workbook$;Location=9aacsokpj;Extended Properties=&quot;&quot;" command="SELECT * FROM [9aacsokpj]"/>
  </connection>
  <connection id="2" xr16:uid="{E4EEE220-FDF2-4DB4-BECC-76017689696B}" keepAlive="1" name="Consulta - gekg9y0u" description="Conexão com a consulta 'gekg9y0u' na pasta de trabalho." type="5" refreshedVersion="0" background="1">
    <dbPr connection="Provider=Microsoft.Mashup.OleDb.1;Data Source=$Workbook$;Location=gekg9y0u;Extended Properties=&quot;&quot;" command="SELECT * FROM [gekg9y0u]"/>
  </connection>
  <connection id="3" xr16:uid="{AFADA7F4-2327-4D56-BD8E-E57534A6AE81}" keepAlive="1" name="Consulta - rdvp9ba2" description="Conexão com a consulta 'rdvp9ba2' na pasta de trabalho." type="5" refreshedVersion="0" background="1">
    <dbPr connection="Provider=Microsoft.Mashup.OleDb.1;Data Source=$Workbook$;Location=rdvp9ba2;Extended Properties=&quot;&quot;" command="SELECT * FROM [rdvp9ba2]"/>
  </connection>
  <connection id="4" xr16:uid="{FBE523C0-D8FC-48CF-A91F-1FFB85D476F5}" keepAlive="1" name="Consulta - zp1lqev7" description="Conexão com a consulta 'zp1lqev7' na pasta de trabalho." type="5" refreshedVersion="0" background="1">
    <dbPr connection="Provider=Microsoft.Mashup.OleDb.1;Data Source=$Workbook$;Location=zp1lqev7;Extended Properties=&quot;&quot;" command="SELECT * FROM [zp1lqev7]"/>
  </connection>
</connections>
</file>

<file path=xl/sharedStrings.xml><?xml version="1.0" encoding="utf-8"?>
<sst xmlns="http://schemas.openxmlformats.org/spreadsheetml/2006/main" count="963" uniqueCount="71">
  <si>
    <t>category</t>
  </si>
  <si>
    <t>Titulo</t>
  </si>
  <si>
    <t>KETLEN SILVA</t>
  </si>
  <si>
    <t>WEB</t>
  </si>
  <si>
    <t>TATIANE SILVA</t>
  </si>
  <si>
    <t>SANDRA SANTOS</t>
  </si>
  <si>
    <t>LUCIENE SILVA</t>
  </si>
  <si>
    <t>VALERIA TRAVASSOS</t>
  </si>
  <si>
    <t>MICHELI FREIRE</t>
  </si>
  <si>
    <t>FERNANDA SILVA</t>
  </si>
  <si>
    <t>KAILANY SILVA</t>
  </si>
  <si>
    <t>ANA PAULA GONCALVES DA SILVA</t>
  </si>
  <si>
    <t>FERNANDA LUCIA ACIOLY</t>
  </si>
  <si>
    <t>JOELMA SOUZA</t>
  </si>
  <si>
    <t>MICHELLE NUNES</t>
  </si>
  <si>
    <t>DANIEL SILVA</t>
  </si>
  <si>
    <t>FLAVIA SILVA</t>
  </si>
  <si>
    <t>LARISSA CRISTINA FERNANDES DE LIMA</t>
  </si>
  <si>
    <t>MARIA DA CONCEIÇÃO PEREIRA DA SILVA</t>
  </si>
  <si>
    <t>RAYSSA SOARES BATISTA DA SILVA</t>
  </si>
  <si>
    <t>PAULIANA GOMES RUFINO</t>
  </si>
  <si>
    <t>CHARLESTON LUIZ (NASSAU)</t>
  </si>
  <si>
    <t>SOLB PAULISTA 2</t>
  </si>
  <si>
    <t>NASSAU SUPORTE VITOR</t>
  </si>
  <si>
    <t>LUCIANO FREITAS BEZERRA</t>
  </si>
  <si>
    <t>LUCYENNE MASIE WOOLLEY ARAÚJO  MORAES</t>
  </si>
  <si>
    <t>EMANUELLE</t>
  </si>
  <si>
    <t>SOLB PAULISTA 1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</si>
  <si>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</si>
  <si>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</si>
  <si>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</si>
  <si>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</si>
  <si>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</si>
  <si>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</si>
  <si>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</si>
  <si>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</si>
  <si>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</si>
  <si>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</si>
  <si>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</si>
  <si>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</si>
  <si>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</si>
  <si>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LENY GLAUCIA MARINHO DE CASTRO</t>
  </si>
  <si>
    <t>THIAGO LEMOS (NASSAU TECNOLOGIA)</t>
  </si>
  <si>
    <t>Karina Gabriela do Nascimento Ferreira</t>
  </si>
  <si>
    <t>ANDREZA KAROLYNE GONCALVES BAR</t>
  </si>
  <si>
    <t>BIODATA</t>
  </si>
  <si>
    <t>MARCIO</t>
  </si>
  <si>
    <t>PAULO CESAR BEZERRA DA SILVA</t>
  </si>
  <si>
    <t>PAULA MONIQUE  FERREIRA LOPES</t>
  </si>
  <si>
    <t>Rótulos de Linha</t>
  </si>
  <si>
    <t>Total Geral</t>
  </si>
  <si>
    <t>QUANTIDADE</t>
  </si>
  <si>
    <t>Quantidade de Agendamentos</t>
  </si>
  <si>
    <t>Quantidade</t>
  </si>
  <si>
    <t>THAIS SILVA</t>
  </si>
  <si>
    <t>LUCIANA TAVARES VALENÇA VILANOVA</t>
  </si>
  <si>
    <t>THIAGO PAULO</t>
  </si>
  <si>
    <t>Porcentagem</t>
  </si>
  <si>
    <t>LUCIANA VALENÇA TAVARES VILANOVA</t>
  </si>
  <si>
    <t>ELANE JOSEFA VIEIRA</t>
  </si>
  <si>
    <t>QUEMILY HAINY FERREIRA LINS</t>
  </si>
  <si>
    <t>% de Agendamentos</t>
  </si>
  <si>
    <t>RAIANE MENDES DE AZEVEDO</t>
  </si>
  <si>
    <t>WALDILEIDE DA SILVA GOMES NUNES</t>
  </si>
  <si>
    <t>Ano</t>
  </si>
  <si>
    <t>Marya Clara Da Silva Lira</t>
  </si>
  <si>
    <t>ELIZANGELA DE LIMA COSTA</t>
  </si>
  <si>
    <t>Levy</t>
  </si>
  <si>
    <t>LARA EVELIM LIMA DANTAS</t>
  </si>
  <si>
    <t>JOAO VITOR PAULO DA SILVA</t>
  </si>
  <si>
    <t>VINICIUS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</si>
</sst>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1" applyNumberFormat="1" applyFont="1"/>
    <xf numFmtId="0" fontId="0" fillId="0" borderId="1" xfId="0" applyBorder="1"/>
    <xf numFmtId="0" fontId="3" fillId="5" borderId="0" xfId="0" applyFont="1" applyFill="1"/>
    <xf numFmtId="0" fontId="0" fillId="2" borderId="0" xfId="0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left" vertical="bottom" textRotation="0" wrapText="0" indent="0" justifyLastLine="0" shrinkToFit="0" readingOrder="0"/>
    </dxf>
    <dxf>
      <font>
        <strike val="0"/>
        <color theme="1"/>
      </font>
      <border diagonalUp="1" diagonalDown="1">
        <bottom style="thin">
          <color theme="4"/>
        </bottom>
        <diagonal style="thin">
          <color theme="4"/>
        </diagonal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olb" pivot="0" table="0" count="10" xr9:uid="{A5D94B0A-7919-43B8-9CB1-F8D0675E7798}">
      <tableStyleElement type="wholeTable" dxfId="9"/>
      <tableStyleElement type="headerRow" dxfId="8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49998474074526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olb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AGENDAMENTOS (BOIODATA) - SOLB - 2025 ATÉ JULHO 2026.xlsx]INPUT!Tabela dinâmica3</c:name>
    <c:fmtId val="3"/>
  </c:pivotSource>
  <c:chart>
    <c:autoTitleDeleted val="1"/>
    <c:pivotFmts>
      <c:pivotFmt>
        <c:idx val="0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INPUT!$K$1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7E-47D9-A5F0-703B96D548CE}"/>
              </c:ext>
            </c:extLst>
          </c:dPt>
          <c:cat>
            <c:strRef>
              <c:f>INPUT!$K$2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INPUT!$K$2</c:f>
              <c:numCache>
                <c:formatCode>General</c:formatCode>
                <c:ptCount val="1"/>
                <c:pt idx="0">
                  <c:v>37705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E-47D9-A5F0-703B96D5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INPUT!$H$63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accent5">
                        <a:lumMod val="20000"/>
                        <a:lumOff val="8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INPUT!$G$64:$G$75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INPUT!$H$64:$H$75</c:f>
              <c:numCache>
                <c:formatCode>General</c:formatCode>
                <c:ptCount val="12"/>
                <c:pt idx="0">
                  <c:v>5397</c:v>
                </c:pt>
                <c:pt idx="1">
                  <c:v>4043</c:v>
                </c:pt>
                <c:pt idx="2">
                  <c:v>6070</c:v>
                </c:pt>
                <c:pt idx="3">
                  <c:v>4804</c:v>
                </c:pt>
                <c:pt idx="4">
                  <c:v>4795</c:v>
                </c:pt>
                <c:pt idx="5">
                  <c:v>5383</c:v>
                </c:pt>
                <c:pt idx="6">
                  <c:v>7213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3-4631-8A40-16655F4EF234}"/>
            </c:ext>
          </c:extLst>
        </c:ser>
        <c:ser>
          <c:idx val="1"/>
          <c:order val="1"/>
          <c:tx>
            <c:strRef>
              <c:f>INPUT!$I$63</c:f>
              <c:strCache>
                <c:ptCount val="1"/>
                <c:pt idx="0">
                  <c:v>Porcentagem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INPUT!$G$64:$G$75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INPUT!$I$64:$I$75</c:f>
              <c:numCache>
                <c:formatCode>0.0%</c:formatCode>
                <c:ptCount val="12"/>
                <c:pt idx="0">
                  <c:v>0.14313751491844584</c:v>
                </c:pt>
                <c:pt idx="1">
                  <c:v>0.10722715820183</c:v>
                </c:pt>
                <c:pt idx="2">
                  <c:v>0.16098660655085534</c:v>
                </c:pt>
                <c:pt idx="3">
                  <c:v>0.12741015780400478</c:v>
                </c:pt>
                <c:pt idx="4">
                  <c:v>0.12717146267073332</c:v>
                </c:pt>
                <c:pt idx="5">
                  <c:v>0.14276621137780135</c:v>
                </c:pt>
                <c:pt idx="6">
                  <c:v>0.19130088847632939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F-4557-A487-B9D033D6758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804412432"/>
        <c:axId val="1804419920"/>
      </c:barChart>
      <c:catAx>
        <c:axId val="18044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4419920"/>
        <c:crosses val="autoZero"/>
        <c:auto val="1"/>
        <c:lblAlgn val="ctr"/>
        <c:lblOffset val="100"/>
        <c:noMultiLvlLbl val="0"/>
      </c:catAx>
      <c:valAx>
        <c:axId val="18044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44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AGENDAMENTOS (BOIODATA) - SOLB - 2025 ATÉ JULHO 2026.xlsx]INPUT!Tabela dinâmica2</c:name>
    <c:fmtId val="11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5">
                      <a:lumMod val="20000"/>
                      <a:lumOff val="80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INPUT!$H$1</c:f>
              <c:strCache>
                <c:ptCount val="1"/>
                <c:pt idx="0">
                  <c:v>Quantidade de Agendamentos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accent5">
                        <a:lumMod val="20000"/>
                        <a:lumOff val="80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INPUT!$G$2:$G$12</c:f>
              <c:strCache>
                <c:ptCount val="10"/>
                <c:pt idx="0">
                  <c:v>LARISSA CRISTINA FERNANDES DE LIMA</c:v>
                </c:pt>
                <c:pt idx="1">
                  <c:v>JOELMA SOUZA</c:v>
                </c:pt>
                <c:pt idx="2">
                  <c:v>QUEMILY HAINY FERREIRA LINS</c:v>
                </c:pt>
                <c:pt idx="3">
                  <c:v>MICHELI FREIRE</c:v>
                </c:pt>
                <c:pt idx="4">
                  <c:v>VALERIA TRAVASSOS</c:v>
                </c:pt>
                <c:pt idx="5">
                  <c:v>THAIS SILVA</c:v>
                </c:pt>
                <c:pt idx="6">
                  <c:v>SANDRA SANTOS</c:v>
                </c:pt>
                <c:pt idx="7">
                  <c:v>TATIANE SILVA</c:v>
                </c:pt>
                <c:pt idx="8">
                  <c:v>LUCIENE SILVA</c:v>
                </c:pt>
                <c:pt idx="9">
                  <c:v>WEB</c:v>
                </c:pt>
              </c:strCache>
            </c:strRef>
          </c:cat>
          <c:val>
            <c:numRef>
              <c:f>INPUT!$H$2:$H$12</c:f>
              <c:numCache>
                <c:formatCode>General</c:formatCode>
                <c:ptCount val="10"/>
                <c:pt idx="0">
                  <c:v>111</c:v>
                </c:pt>
                <c:pt idx="1">
                  <c:v>185</c:v>
                </c:pt>
                <c:pt idx="2">
                  <c:v>228</c:v>
                </c:pt>
                <c:pt idx="3">
                  <c:v>243</c:v>
                </c:pt>
                <c:pt idx="4">
                  <c:v>266</c:v>
                </c:pt>
                <c:pt idx="5">
                  <c:v>594</c:v>
                </c:pt>
                <c:pt idx="6">
                  <c:v>751</c:v>
                </c:pt>
                <c:pt idx="7">
                  <c:v>803</c:v>
                </c:pt>
                <c:pt idx="8">
                  <c:v>816</c:v>
                </c:pt>
                <c:pt idx="9">
                  <c:v>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4-4F62-9052-A639B18B1028}"/>
            </c:ext>
          </c:extLst>
        </c:ser>
        <c:ser>
          <c:idx val="1"/>
          <c:order val="1"/>
          <c:tx>
            <c:strRef>
              <c:f>INPUT!$I$1</c:f>
              <c:strCache>
                <c:ptCount val="1"/>
                <c:pt idx="0">
                  <c:v>% de Agendamentos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INPUT!$G$2:$G$12</c:f>
              <c:strCache>
                <c:ptCount val="10"/>
                <c:pt idx="0">
                  <c:v>LARISSA CRISTINA FERNANDES DE LIMA</c:v>
                </c:pt>
                <c:pt idx="1">
                  <c:v>JOELMA SOUZA</c:v>
                </c:pt>
                <c:pt idx="2">
                  <c:v>QUEMILY HAINY FERREIRA LINS</c:v>
                </c:pt>
                <c:pt idx="3">
                  <c:v>MICHELI FREIRE</c:v>
                </c:pt>
                <c:pt idx="4">
                  <c:v>VALERIA TRAVASSOS</c:v>
                </c:pt>
                <c:pt idx="5">
                  <c:v>THAIS SILVA</c:v>
                </c:pt>
                <c:pt idx="6">
                  <c:v>SANDRA SANTOS</c:v>
                </c:pt>
                <c:pt idx="7">
                  <c:v>TATIANE SILVA</c:v>
                </c:pt>
                <c:pt idx="8">
                  <c:v>LUCIENE SILVA</c:v>
                </c:pt>
                <c:pt idx="9">
                  <c:v>WEB</c:v>
                </c:pt>
              </c:strCache>
            </c:strRef>
          </c:cat>
          <c:val>
            <c:numRef>
              <c:f>INPUT!$I$2:$I$12</c:f>
              <c:numCache>
                <c:formatCode>0.00%</c:formatCode>
                <c:ptCount val="10"/>
                <c:pt idx="0">
                  <c:v>1.7409033877038897E-2</c:v>
                </c:pt>
                <c:pt idx="1">
                  <c:v>2.9015056461731494E-2</c:v>
                </c:pt>
                <c:pt idx="2">
                  <c:v>3.5759096612296114E-2</c:v>
                </c:pt>
                <c:pt idx="3">
                  <c:v>3.8111668757841909E-2</c:v>
                </c:pt>
                <c:pt idx="4">
                  <c:v>4.1718946047678798E-2</c:v>
                </c:pt>
                <c:pt idx="5">
                  <c:v>9.3161856963613551E-2</c:v>
                </c:pt>
                <c:pt idx="6">
                  <c:v>0.11778544542032622</c:v>
                </c:pt>
                <c:pt idx="7">
                  <c:v>0.12594102885821831</c:v>
                </c:pt>
                <c:pt idx="8">
                  <c:v>0.12797992471769135</c:v>
                </c:pt>
                <c:pt idx="9">
                  <c:v>0.37311794228356338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E-4106-9878-8CCC221A446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2380400"/>
        <c:axId val="1292380816"/>
      </c:barChart>
      <c:catAx>
        <c:axId val="129238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80816"/>
        <c:crosses val="autoZero"/>
        <c:auto val="1"/>
        <c:lblAlgn val="ctr"/>
        <c:lblOffset val="100"/>
        <c:noMultiLvlLbl val="0"/>
      </c:catAx>
      <c:valAx>
        <c:axId val="12923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8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594808</xdr:colOff>
      <xdr:row>0</xdr:row>
      <xdr:rowOff>103094</xdr:rowOff>
    </xdr:from>
    <xdr:to>
      <xdr:col>23</xdr:col>
      <xdr:colOff>35497</xdr:colOff>
      <xdr:row>2</xdr:row>
      <xdr:rowOff>110713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CDF77E-E029-45F9-B928-8E53A516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6808" y="103094"/>
          <a:ext cx="1269489" cy="373379"/>
        </a:xfrm>
        <a:prstGeom prst="rect">
          <a:avLst/>
        </a:prstGeom>
      </xdr:spPr>
    </xdr:pic>
    <xdr:clientData/>
  </xdr:twoCellAnchor>
  <xdr:twoCellAnchor>
    <xdr:from>
      <xdr:col>0</xdr:col>
      <xdr:colOff>61968</xdr:colOff>
      <xdr:row>0</xdr:row>
      <xdr:rowOff>0</xdr:rowOff>
    </xdr:from>
    <xdr:to>
      <xdr:col>12</xdr:col>
      <xdr:colOff>100068</xdr:colOff>
      <xdr:row>2</xdr:row>
      <xdr:rowOff>160020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8F6AC0F-94A0-48A9-B4E6-B667F8BBB46B}"/>
            </a:ext>
          </a:extLst>
        </xdr:cNvPr>
        <xdr:cNvSpPr/>
      </xdr:nvSpPr>
      <xdr:spPr>
        <a:xfrm>
          <a:off x="61968" y="0"/>
          <a:ext cx="7353300" cy="525780"/>
        </a:xfrm>
        <a:prstGeom prst="roundRect">
          <a:avLst>
            <a:gd name="adj" fmla="val 9194"/>
          </a:avLst>
        </a:prstGeom>
        <a:solidFill>
          <a:schemeClr val="bg1">
            <a:lumMod val="9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Painel de Agendamentos</a:t>
          </a:r>
          <a:r>
            <a:rPr lang="pt-BR" sz="1600" b="0" cap="none" spc="0" baseline="0">
              <a:ln w="0"/>
              <a:solidFill>
                <a:schemeClr val="accent5">
                  <a:lumMod val="50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 (Biodata)</a:t>
          </a:r>
          <a:endParaRPr lang="pt-BR" sz="1600" b="0" cap="none" spc="0">
            <a:ln w="0"/>
            <a:solidFill>
              <a:schemeClr val="accent5">
                <a:lumMod val="50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</a:endParaRPr>
        </a:p>
        <a:p>
          <a:pPr algn="l"/>
          <a:endParaRPr lang="pt-BR" sz="1050" b="0" cap="none" spc="0">
            <a:ln w="0"/>
            <a:solidFill>
              <a:schemeClr val="accent5">
                <a:lumMod val="50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233979</xdr:colOff>
      <xdr:row>4</xdr:row>
      <xdr:rowOff>78105</xdr:rowOff>
    </xdr:from>
    <xdr:to>
      <xdr:col>9</xdr:col>
      <xdr:colOff>521970</xdr:colOff>
      <xdr:row>19</xdr:row>
      <xdr:rowOff>57150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8CF2F74E-6202-44A0-91BF-FC014B847D44}"/>
            </a:ext>
          </a:extLst>
        </xdr:cNvPr>
        <xdr:cNvGrpSpPr/>
      </xdr:nvGrpSpPr>
      <xdr:grpSpPr>
        <a:xfrm>
          <a:off x="2604646" y="840105"/>
          <a:ext cx="3251324" cy="2836545"/>
          <a:chOff x="73959" y="809625"/>
          <a:chExt cx="3335991" cy="272224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FFA6871-D2CC-4F82-A5B4-F4B29B9E5FF5}"/>
              </a:ext>
            </a:extLst>
          </xdr:cNvPr>
          <xdr:cNvSpPr/>
        </xdr:nvSpPr>
        <xdr:spPr>
          <a:xfrm>
            <a:off x="73959" y="809625"/>
            <a:ext cx="3335991" cy="27222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pt-BR" sz="1400" b="1" baseline="0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Geral de Agendamentos</a:t>
            </a:r>
          </a:p>
        </xdr:txBody>
      </xdr:sp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7B2306C2-390A-493F-8006-FD3B930A9637}"/>
              </a:ext>
            </a:extLst>
          </xdr:cNvPr>
          <xdr:cNvGraphicFramePr>
            <a:graphicFrameLocks/>
          </xdr:cNvGraphicFramePr>
        </xdr:nvGraphicFramePr>
        <xdr:xfrm>
          <a:off x="137160" y="1165860"/>
          <a:ext cx="3177540" cy="2232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10</xdr:col>
      <xdr:colOff>15240</xdr:colOff>
      <xdr:row>4</xdr:row>
      <xdr:rowOff>87630</xdr:rowOff>
    </xdr:from>
    <xdr:to>
      <xdr:col>23</xdr:col>
      <xdr:colOff>38100</xdr:colOff>
      <xdr:row>19</xdr:row>
      <xdr:rowOff>76200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21589641-BAD4-4C59-93F4-BF15054DEFC6}"/>
            </a:ext>
          </a:extLst>
        </xdr:cNvPr>
        <xdr:cNvGrpSpPr/>
      </xdr:nvGrpSpPr>
      <xdr:grpSpPr>
        <a:xfrm>
          <a:off x="5941907" y="849630"/>
          <a:ext cx="7727526" cy="2846070"/>
          <a:chOff x="3515285" y="819150"/>
          <a:chExt cx="10543615" cy="273177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4C0F53B-E4EB-43B7-9C94-DC6A56157A2B}"/>
              </a:ext>
            </a:extLst>
          </xdr:cNvPr>
          <xdr:cNvSpPr/>
        </xdr:nvSpPr>
        <xdr:spPr>
          <a:xfrm>
            <a:off x="3515285" y="819150"/>
            <a:ext cx="10543615" cy="2731770"/>
          </a:xfrm>
          <a:prstGeom prst="roundRect">
            <a:avLst>
              <a:gd name="adj" fmla="val 591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4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Total de Agendamentos Por Mês</a:t>
            </a:r>
          </a:p>
        </xdr:txBody>
      </xdr:sp>
      <xdr:graphicFrame macro="">
        <xdr:nvGraphicFramePr>
          <xdr:cNvPr id="38" name="Gráfico 37">
            <a:extLst>
              <a:ext uri="{FF2B5EF4-FFF2-40B4-BE49-F238E27FC236}">
                <a16:creationId xmlns:a16="http://schemas.microsoft.com/office/drawing/2014/main" id="{55158D2D-823B-4A58-824D-C409068DC131}"/>
              </a:ext>
            </a:extLst>
          </xdr:cNvPr>
          <xdr:cNvGraphicFramePr>
            <a:graphicFrameLocks/>
          </xdr:cNvGraphicFramePr>
        </xdr:nvGraphicFramePr>
        <xdr:xfrm>
          <a:off x="3581400" y="1143000"/>
          <a:ext cx="10378439" cy="2339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4</xdr:col>
      <xdr:colOff>274320</xdr:colOff>
      <xdr:row>21</xdr:row>
      <xdr:rowOff>78105</xdr:rowOff>
    </xdr:from>
    <xdr:to>
      <xdr:col>23</xdr:col>
      <xdr:colOff>45720</xdr:colOff>
      <xdr:row>39</xdr:row>
      <xdr:rowOff>133350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B0CF6AD-8CDD-4234-92CD-26492AB34AD8}"/>
            </a:ext>
          </a:extLst>
        </xdr:cNvPr>
        <xdr:cNvGrpSpPr/>
      </xdr:nvGrpSpPr>
      <xdr:grpSpPr>
        <a:xfrm>
          <a:off x="2644987" y="4078605"/>
          <a:ext cx="11032066" cy="3484245"/>
          <a:chOff x="3457911" y="3918585"/>
          <a:chExt cx="10618134" cy="3347085"/>
        </a:xfrm>
      </xdr:grpSpPr>
      <xdr:sp macro="" textlink="INPUT!K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E9A2F26-1C4C-4D80-8431-54C8AF576AC4}"/>
              </a:ext>
            </a:extLst>
          </xdr:cNvPr>
          <xdr:cNvSpPr/>
        </xdr:nvSpPr>
        <xdr:spPr>
          <a:xfrm>
            <a:off x="3457911" y="3918585"/>
            <a:ext cx="10618134" cy="334708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 i="0" u="none" strike="noStrike" baseline="0">
                <a:solidFill>
                  <a:schemeClr val="accent5">
                    <a:lumMod val="50000"/>
                  </a:schemeClr>
                </a:solidFill>
                <a:effectLst/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TOP 10</a:t>
            </a:r>
            <a:endParaRPr lang="pt-BR" sz="12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163C2B45-958F-4E72-B5DB-039BE8B3A6C6}"/>
              </a:ext>
            </a:extLst>
          </xdr:cNvPr>
          <xdr:cNvGraphicFramePr>
            <a:graphicFrameLocks/>
          </xdr:cNvGraphicFramePr>
        </xdr:nvGraphicFramePr>
        <xdr:xfrm>
          <a:off x="3528060" y="4244340"/>
          <a:ext cx="10454640" cy="2933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63874</xdr:colOff>
      <xdr:row>21</xdr:row>
      <xdr:rowOff>83820</xdr:rowOff>
    </xdr:from>
    <xdr:to>
      <xdr:col>4</xdr:col>
      <xdr:colOff>144780</xdr:colOff>
      <xdr:row>39</xdr:row>
      <xdr:rowOff>142875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4CEFFD5-6C5B-4CE1-8D34-A70F9B4B76AE}"/>
            </a:ext>
          </a:extLst>
        </xdr:cNvPr>
        <xdr:cNvGrpSpPr/>
      </xdr:nvGrpSpPr>
      <xdr:grpSpPr>
        <a:xfrm>
          <a:off x="63874" y="4084320"/>
          <a:ext cx="2451573" cy="3488055"/>
          <a:chOff x="63874" y="3924300"/>
          <a:chExt cx="2519306" cy="335089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EE23F24-D8C9-400E-88BA-9012D2E5B00F}"/>
              </a:ext>
            </a:extLst>
          </xdr:cNvPr>
          <xdr:cNvSpPr/>
        </xdr:nvSpPr>
        <xdr:spPr>
          <a:xfrm>
            <a:off x="63874" y="3924300"/>
            <a:ext cx="2519306" cy="335089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Mês">
                <a:extLst>
                  <a:ext uri="{FF2B5EF4-FFF2-40B4-BE49-F238E27FC236}">
                    <a16:creationId xmlns:a16="http://schemas.microsoft.com/office/drawing/2014/main" id="{CACCD8BC-410F-43E5-9175-236119FAEC4E}"/>
                  </a:ext>
                </a:extLst>
              </xdr:cNvPr>
              <xdr:cNvGraphicFramePr/>
            </xdr:nvGraphicFramePr>
            <xdr:xfrm>
              <a:off x="137160" y="4076700"/>
              <a:ext cx="2331720" cy="3070860"/>
            </xdr:xfrm>
            <a:graphic>
              <a:graphicData uri="http://schemas.microsoft.com/office/drawing/2010/slicer">
                <sle:slicer xmlns:sle="http://schemas.microsoft.com/office/drawing/2010/slicer" name="Mê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7160" y="4076700"/>
                <a:ext cx="2331720" cy="30708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22860</xdr:colOff>
      <xdr:row>4</xdr:row>
      <xdr:rowOff>76201</xdr:rowOff>
    </xdr:from>
    <xdr:to>
      <xdr:col>4</xdr:col>
      <xdr:colOff>103766</xdr:colOff>
      <xdr:row>19</xdr:row>
      <xdr:rowOff>68581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641AE9C-0458-42FB-943F-A91CE28561C8}"/>
            </a:ext>
          </a:extLst>
        </xdr:cNvPr>
        <xdr:cNvGrpSpPr/>
      </xdr:nvGrpSpPr>
      <xdr:grpSpPr>
        <a:xfrm>
          <a:off x="22860" y="838201"/>
          <a:ext cx="2451573" cy="2849880"/>
          <a:chOff x="22860" y="807721"/>
          <a:chExt cx="2519306" cy="273558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575C8FF-D78D-4F3C-9EDE-54EFB82B3EC3}"/>
              </a:ext>
            </a:extLst>
          </xdr:cNvPr>
          <xdr:cNvSpPr/>
        </xdr:nvSpPr>
        <xdr:spPr>
          <a:xfrm>
            <a:off x="22860" y="807721"/>
            <a:ext cx="2519306" cy="273558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400" b="1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0" name="Ano">
                <a:extLst>
                  <a:ext uri="{FF2B5EF4-FFF2-40B4-BE49-F238E27FC236}">
                    <a16:creationId xmlns:a16="http://schemas.microsoft.com/office/drawing/2014/main" id="{2B4EE36D-89EB-41AA-91AF-6E505AEA56F0}"/>
                  </a:ext>
                </a:extLst>
              </xdr:cNvPr>
              <xdr:cNvGraphicFramePr/>
            </xdr:nvGraphicFramePr>
            <xdr:xfrm>
              <a:off x="129540" y="937260"/>
              <a:ext cx="2255520" cy="2497455"/>
            </xdr:xfrm>
            <a:graphic>
              <a:graphicData uri="http://schemas.microsoft.com/office/drawing/2010/slicer">
                <sle:slicer xmlns:sle="http://schemas.microsoft.com/office/drawing/2010/slicer" name="A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9540" y="937260"/>
                <a:ext cx="2255520" cy="249745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0.35333</cdr:x>
      <cdr:y>0.36528</cdr:y>
    </cdr:from>
    <cdr:to>
      <cdr:x>0.64167</cdr:x>
      <cdr:y>0.61806</cdr:y>
    </cdr:to>
    <cdr:sp macro="" textlink="INPUT!$K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017A3D9-F1CC-488A-B555-FF5684548EBD}"/>
            </a:ext>
          </a:extLst>
        </cdr:cNvPr>
        <cdr:cNvSpPr txBox="1"/>
      </cdr:nvSpPr>
      <cdr:spPr>
        <a:xfrm xmlns:a="http://schemas.openxmlformats.org/drawingml/2006/main">
          <a:off x="1615440" y="1002030"/>
          <a:ext cx="1318260" cy="693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EDE76F6-3CFB-4F4E-B3A9-0272FDC8EE66}" type="TxLink">
            <a:rPr lang="en-US" sz="1400" b="1" i="0" u="none" strike="noStrike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37705</a:t>
          </a:fld>
          <a:endParaRPr lang="pt-BR" sz="1400" b="1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Lima" refreshedDate="46238.46225034722" missingItemsLimit="0" createdVersion="7" refreshedVersion="8" minRefreshableVersion="3" recordCount="458" xr:uid="{AD31039A-7508-4CAD-AF89-56C76FEF52C4}">
  <cacheSource type="worksheet">
    <worksheetSource ref="A1:D459" sheet="INPUT"/>
  </cacheSource>
  <cacheFields count="6">
    <cacheField name="category" numFmtId="0">
      <sharedItems count="48">
        <s v="KETLEN SILVA"/>
        <s v="WEB"/>
        <s v="TATIANE SILVA"/>
        <s v="SANDRA SANTOS"/>
        <s v="LUCIENE SILVA"/>
        <s v="VALERIA TRAVASSOS"/>
        <s v="MICHELI FREIRE"/>
        <s v="FERNANDA SILVA"/>
        <s v="KAILANY SILVA"/>
        <s v="ANA PAULA GONCALVES DA SILVA"/>
        <s v="FERNANDA LUCIA ACIOLY"/>
        <s v="JOELMA SOUZA"/>
        <s v="MICHELLE NUNES"/>
        <s v="DANIEL SILVA"/>
        <s v="FLAVIA SILVA"/>
        <s v="LARISSA CRISTINA FERNANDES DE LIMA"/>
        <s v="MARIA DA CONCEIÇÃO PEREIRA DA SILVA"/>
        <s v="RAYSSA SOARES BATISTA DA SILVA"/>
        <s v="PAULIANA GOMES RUFINO"/>
        <s v="CHARLESTON LUIZ (NASSAU)"/>
        <s v="SOLB PAULISTA 2"/>
        <s v="NASSAU SUPORTE VITOR"/>
        <s v="LUCIANO FREITAS BEZERRA"/>
        <s v="LUCYENNE MASIE WOOLLEY ARAÚJO  MORAES"/>
        <s v="EMANUELLE"/>
        <s v="SOLB PAULISTA 1"/>
        <s v="LENY GLAUCIA MARINHO DE CASTRO"/>
        <s v="THIAGO LEMOS (NASSAU TECNOLOGIA)"/>
        <s v="Karina Gabriela do Nascimento Ferreira"/>
        <s v="ANDREZA KAROLYNE GONCALVES BAR"/>
        <s v="BIODATA"/>
        <s v="MARCIO"/>
        <s v="PAULO CESAR BEZERRA DA SILVA"/>
        <s v="PAULA MONIQUE  FERREIRA LOPES"/>
        <s v="THAIS SILVA"/>
        <s v="LUCIANA TAVARES VALENÇA VILANOVA"/>
        <s v="THIAGO PAULO"/>
        <s v="LUCIANA VALENÇA TAVARES VILANOVA"/>
        <s v="ELANE JOSEFA VIEIRA"/>
        <s v="QUEMILY HAINY FERREIRA LINS"/>
        <s v="RAIANE MENDES DE AZEVEDO"/>
        <s v="WALDILEIDE DA SILVA GOMES NUNES"/>
        <s v="Marya Clara Da Silva Lira"/>
        <s v="ELIZANGELA DE LIMA COSTA"/>
        <s v="Levy"/>
        <s v="LARA EVELIM LIMA DANTAS"/>
        <s v="JOAO VITOR PAULO DA SILVA"/>
        <s v="VINICIUS"/>
      </sharedItems>
    </cacheField>
    <cacheField name="Titulo" numFmtId="0">
      <sharedItems containsSemiMixedTypes="0" containsString="0" containsNumber="1" containsInteger="1" minValue="1" maxValue="2379"/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Porcentagem" numFmtId="0" formula="Titulo/ 51125" databaseField="0"/>
    <cacheField name="% usuario" numFmtId="0" formula="Titulo" databaseField="0"/>
  </cacheFields>
  <extLst>
    <ext xmlns:x14="http://schemas.microsoft.com/office/spreadsheetml/2009/9/main" uri="{725AE2AE-9491-48be-B2B4-4EB974FC3084}">
      <x14:pivotCacheDefinition pivotCacheId="1298459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x v="0"/>
    <n v="617"/>
    <x v="0"/>
    <x v="0"/>
  </r>
  <r>
    <x v="1"/>
    <n v="614"/>
    <x v="0"/>
    <x v="0"/>
  </r>
  <r>
    <x v="2"/>
    <n v="530"/>
    <x v="0"/>
    <x v="0"/>
  </r>
  <r>
    <x v="3"/>
    <n v="510"/>
    <x v="0"/>
    <x v="0"/>
  </r>
  <r>
    <x v="4"/>
    <n v="442"/>
    <x v="0"/>
    <x v="0"/>
  </r>
  <r>
    <x v="5"/>
    <n v="228"/>
    <x v="0"/>
    <x v="0"/>
  </r>
  <r>
    <x v="6"/>
    <n v="203"/>
    <x v="0"/>
    <x v="0"/>
  </r>
  <r>
    <x v="7"/>
    <n v="200"/>
    <x v="0"/>
    <x v="0"/>
  </r>
  <r>
    <x v="8"/>
    <n v="186"/>
    <x v="0"/>
    <x v="0"/>
  </r>
  <r>
    <x v="9"/>
    <n v="137"/>
    <x v="0"/>
    <x v="0"/>
  </r>
  <r>
    <x v="10"/>
    <n v="127"/>
    <x v="0"/>
    <x v="0"/>
  </r>
  <r>
    <x v="11"/>
    <n v="110"/>
    <x v="0"/>
    <x v="0"/>
  </r>
  <r>
    <x v="12"/>
    <n v="92"/>
    <x v="0"/>
    <x v="0"/>
  </r>
  <r>
    <x v="13"/>
    <n v="91"/>
    <x v="0"/>
    <x v="0"/>
  </r>
  <r>
    <x v="14"/>
    <n v="80"/>
    <x v="0"/>
    <x v="0"/>
  </r>
  <r>
    <x v="15"/>
    <n v="78"/>
    <x v="0"/>
    <x v="0"/>
  </r>
  <r>
    <x v="16"/>
    <n v="75"/>
    <x v="0"/>
    <x v="0"/>
  </r>
  <r>
    <x v="17"/>
    <n v="71"/>
    <x v="0"/>
    <x v="0"/>
  </r>
  <r>
    <x v="18"/>
    <n v="34"/>
    <x v="0"/>
    <x v="0"/>
  </r>
  <r>
    <x v="19"/>
    <n v="20"/>
    <x v="0"/>
    <x v="0"/>
  </r>
  <r>
    <x v="20"/>
    <n v="10"/>
    <x v="0"/>
    <x v="0"/>
  </r>
  <r>
    <x v="21"/>
    <n v="9"/>
    <x v="0"/>
    <x v="0"/>
  </r>
  <r>
    <x v="22"/>
    <n v="6"/>
    <x v="0"/>
    <x v="0"/>
  </r>
  <r>
    <x v="23"/>
    <n v="5"/>
    <x v="0"/>
    <x v="0"/>
  </r>
  <r>
    <x v="24"/>
    <n v="3"/>
    <x v="0"/>
    <x v="0"/>
  </r>
  <r>
    <x v="25"/>
    <n v="2"/>
    <x v="0"/>
    <x v="0"/>
  </r>
  <r>
    <x v="1"/>
    <n v="534"/>
    <x v="1"/>
    <x v="0"/>
  </r>
  <r>
    <x v="0"/>
    <n v="483"/>
    <x v="1"/>
    <x v="0"/>
  </r>
  <r>
    <x v="2"/>
    <n v="414"/>
    <x v="1"/>
    <x v="0"/>
  </r>
  <r>
    <x v="3"/>
    <n v="388"/>
    <x v="1"/>
    <x v="0"/>
  </r>
  <r>
    <x v="4"/>
    <n v="350"/>
    <x v="1"/>
    <x v="0"/>
  </r>
  <r>
    <x v="5"/>
    <n v="255"/>
    <x v="1"/>
    <x v="0"/>
  </r>
  <r>
    <x v="8"/>
    <n v="185"/>
    <x v="1"/>
    <x v="0"/>
  </r>
  <r>
    <x v="18"/>
    <n v="163"/>
    <x v="1"/>
    <x v="0"/>
  </r>
  <r>
    <x v="9"/>
    <n v="162"/>
    <x v="1"/>
    <x v="0"/>
  </r>
  <r>
    <x v="6"/>
    <n v="160"/>
    <x v="1"/>
    <x v="0"/>
  </r>
  <r>
    <x v="11"/>
    <n v="130"/>
    <x v="1"/>
    <x v="0"/>
  </r>
  <r>
    <x v="12"/>
    <n v="113"/>
    <x v="1"/>
    <x v="0"/>
  </r>
  <r>
    <x v="17"/>
    <n v="112"/>
    <x v="1"/>
    <x v="0"/>
  </r>
  <r>
    <x v="7"/>
    <n v="110"/>
    <x v="1"/>
    <x v="0"/>
  </r>
  <r>
    <x v="15"/>
    <n v="109"/>
    <x v="1"/>
    <x v="0"/>
  </r>
  <r>
    <x v="10"/>
    <n v="101"/>
    <x v="1"/>
    <x v="0"/>
  </r>
  <r>
    <x v="16"/>
    <n v="100"/>
    <x v="1"/>
    <x v="0"/>
  </r>
  <r>
    <x v="14"/>
    <n v="85"/>
    <x v="1"/>
    <x v="0"/>
  </r>
  <r>
    <x v="20"/>
    <n v="16"/>
    <x v="1"/>
    <x v="0"/>
  </r>
  <r>
    <x v="19"/>
    <n v="3"/>
    <x v="1"/>
    <x v="0"/>
  </r>
  <r>
    <x v="26"/>
    <n v="2"/>
    <x v="1"/>
    <x v="0"/>
  </r>
  <r>
    <x v="22"/>
    <n v="2"/>
    <x v="1"/>
    <x v="0"/>
  </r>
  <r>
    <x v="25"/>
    <n v="2"/>
    <x v="1"/>
    <x v="0"/>
  </r>
  <r>
    <x v="13"/>
    <n v="2"/>
    <x v="1"/>
    <x v="0"/>
  </r>
  <r>
    <x v="23"/>
    <n v="1"/>
    <x v="1"/>
    <x v="0"/>
  </r>
  <r>
    <x v="27"/>
    <n v="1"/>
    <x v="1"/>
    <x v="0"/>
  </r>
  <r>
    <x v="21"/>
    <n v="1"/>
    <x v="1"/>
    <x v="0"/>
  </r>
  <r>
    <x v="1"/>
    <n v="716"/>
    <x v="2"/>
    <x v="0"/>
  </r>
  <r>
    <x v="0"/>
    <n v="647"/>
    <x v="2"/>
    <x v="0"/>
  </r>
  <r>
    <x v="3"/>
    <n v="487"/>
    <x v="2"/>
    <x v="0"/>
  </r>
  <r>
    <x v="2"/>
    <n v="446"/>
    <x v="2"/>
    <x v="0"/>
  </r>
  <r>
    <x v="4"/>
    <n v="444"/>
    <x v="2"/>
    <x v="0"/>
  </r>
  <r>
    <x v="5"/>
    <n v="225"/>
    <x v="2"/>
    <x v="0"/>
  </r>
  <r>
    <x v="7"/>
    <n v="178"/>
    <x v="2"/>
    <x v="0"/>
  </r>
  <r>
    <x v="8"/>
    <n v="170"/>
    <x v="2"/>
    <x v="0"/>
  </r>
  <r>
    <x v="6"/>
    <n v="139"/>
    <x v="2"/>
    <x v="0"/>
  </r>
  <r>
    <x v="18"/>
    <n v="128"/>
    <x v="2"/>
    <x v="0"/>
  </r>
  <r>
    <x v="17"/>
    <n v="109"/>
    <x v="2"/>
    <x v="0"/>
  </r>
  <r>
    <x v="10"/>
    <n v="95"/>
    <x v="2"/>
    <x v="0"/>
  </r>
  <r>
    <x v="16"/>
    <n v="89"/>
    <x v="2"/>
    <x v="0"/>
  </r>
  <r>
    <x v="9"/>
    <n v="82"/>
    <x v="2"/>
    <x v="0"/>
  </r>
  <r>
    <x v="15"/>
    <n v="82"/>
    <x v="2"/>
    <x v="0"/>
  </r>
  <r>
    <x v="12"/>
    <n v="74"/>
    <x v="2"/>
    <x v="0"/>
  </r>
  <r>
    <x v="11"/>
    <n v="72"/>
    <x v="2"/>
    <x v="0"/>
  </r>
  <r>
    <x v="28"/>
    <n v="42"/>
    <x v="2"/>
    <x v="0"/>
  </r>
  <r>
    <x v="29"/>
    <n v="26"/>
    <x v="2"/>
    <x v="0"/>
  </r>
  <r>
    <x v="20"/>
    <n v="18"/>
    <x v="2"/>
    <x v="0"/>
  </r>
  <r>
    <x v="14"/>
    <n v="18"/>
    <x v="2"/>
    <x v="0"/>
  </r>
  <r>
    <x v="22"/>
    <n v="10"/>
    <x v="2"/>
    <x v="0"/>
  </r>
  <r>
    <x v="19"/>
    <n v="2"/>
    <x v="2"/>
    <x v="0"/>
  </r>
  <r>
    <x v="27"/>
    <n v="2"/>
    <x v="2"/>
    <x v="0"/>
  </r>
  <r>
    <x v="13"/>
    <n v="2"/>
    <x v="2"/>
    <x v="0"/>
  </r>
  <r>
    <x v="30"/>
    <n v="1"/>
    <x v="2"/>
    <x v="0"/>
  </r>
  <r>
    <x v="24"/>
    <n v="1"/>
    <x v="2"/>
    <x v="0"/>
  </r>
  <r>
    <x v="25"/>
    <n v="1"/>
    <x v="2"/>
    <x v="0"/>
  </r>
  <r>
    <x v="1"/>
    <n v="793"/>
    <x v="3"/>
    <x v="0"/>
  </r>
  <r>
    <x v="0"/>
    <n v="708"/>
    <x v="3"/>
    <x v="0"/>
  </r>
  <r>
    <x v="3"/>
    <n v="544"/>
    <x v="3"/>
    <x v="0"/>
  </r>
  <r>
    <x v="2"/>
    <n v="504"/>
    <x v="3"/>
    <x v="0"/>
  </r>
  <r>
    <x v="4"/>
    <n v="471"/>
    <x v="3"/>
    <x v="0"/>
  </r>
  <r>
    <x v="8"/>
    <n v="211"/>
    <x v="3"/>
    <x v="0"/>
  </r>
  <r>
    <x v="5"/>
    <n v="208"/>
    <x v="3"/>
    <x v="0"/>
  </r>
  <r>
    <x v="7"/>
    <n v="179"/>
    <x v="3"/>
    <x v="0"/>
  </r>
  <r>
    <x v="6"/>
    <n v="167"/>
    <x v="3"/>
    <x v="0"/>
  </r>
  <r>
    <x v="10"/>
    <n v="158"/>
    <x v="3"/>
    <x v="0"/>
  </r>
  <r>
    <x v="16"/>
    <n v="136"/>
    <x v="3"/>
    <x v="0"/>
  </r>
  <r>
    <x v="28"/>
    <n v="134"/>
    <x v="3"/>
    <x v="0"/>
  </r>
  <r>
    <x v="15"/>
    <n v="131"/>
    <x v="3"/>
    <x v="0"/>
  </r>
  <r>
    <x v="17"/>
    <n v="119"/>
    <x v="3"/>
    <x v="0"/>
  </r>
  <r>
    <x v="14"/>
    <n v="101"/>
    <x v="3"/>
    <x v="0"/>
  </r>
  <r>
    <x v="11"/>
    <n v="97"/>
    <x v="3"/>
    <x v="0"/>
  </r>
  <r>
    <x v="29"/>
    <n v="64"/>
    <x v="3"/>
    <x v="0"/>
  </r>
  <r>
    <x v="12"/>
    <n v="55"/>
    <x v="3"/>
    <x v="0"/>
  </r>
  <r>
    <x v="20"/>
    <n v="22"/>
    <x v="3"/>
    <x v="0"/>
  </r>
  <r>
    <x v="31"/>
    <n v="12"/>
    <x v="3"/>
    <x v="0"/>
  </r>
  <r>
    <x v="23"/>
    <n v="11"/>
    <x v="3"/>
    <x v="0"/>
  </r>
  <r>
    <x v="21"/>
    <n v="7"/>
    <x v="3"/>
    <x v="0"/>
  </r>
  <r>
    <x v="32"/>
    <n v="4"/>
    <x v="3"/>
    <x v="0"/>
  </r>
  <r>
    <x v="25"/>
    <n v="4"/>
    <x v="3"/>
    <x v="0"/>
  </r>
  <r>
    <x v="19"/>
    <n v="3"/>
    <x v="3"/>
    <x v="0"/>
  </r>
  <r>
    <x v="13"/>
    <n v="2"/>
    <x v="3"/>
    <x v="0"/>
  </r>
  <r>
    <x v="33"/>
    <n v="2"/>
    <x v="3"/>
    <x v="0"/>
  </r>
  <r>
    <x v="1"/>
    <n v="1123"/>
    <x v="4"/>
    <x v="0"/>
  </r>
  <r>
    <x v="0"/>
    <n v="676"/>
    <x v="4"/>
    <x v="0"/>
  </r>
  <r>
    <x v="3"/>
    <n v="506"/>
    <x v="4"/>
    <x v="0"/>
  </r>
  <r>
    <x v="2"/>
    <n v="475"/>
    <x v="4"/>
    <x v="0"/>
  </r>
  <r>
    <x v="4"/>
    <n v="425"/>
    <x v="4"/>
    <x v="0"/>
  </r>
  <r>
    <x v="34"/>
    <n v="355"/>
    <x v="4"/>
    <x v="0"/>
  </r>
  <r>
    <x v="5"/>
    <n v="277"/>
    <x v="4"/>
    <x v="0"/>
  </r>
  <r>
    <x v="8"/>
    <n v="270"/>
    <x v="4"/>
    <x v="0"/>
  </r>
  <r>
    <x v="6"/>
    <n v="211"/>
    <x v="4"/>
    <x v="0"/>
  </r>
  <r>
    <x v="7"/>
    <n v="177"/>
    <x v="4"/>
    <x v="0"/>
  </r>
  <r>
    <x v="32"/>
    <n v="139"/>
    <x v="4"/>
    <x v="0"/>
  </r>
  <r>
    <x v="15"/>
    <n v="138"/>
    <x v="4"/>
    <x v="0"/>
  </r>
  <r>
    <x v="16"/>
    <n v="116"/>
    <x v="4"/>
    <x v="0"/>
  </r>
  <r>
    <x v="12"/>
    <n v="116"/>
    <x v="4"/>
    <x v="0"/>
  </r>
  <r>
    <x v="29"/>
    <n v="104"/>
    <x v="4"/>
    <x v="0"/>
  </r>
  <r>
    <x v="14"/>
    <n v="103"/>
    <x v="4"/>
    <x v="0"/>
  </r>
  <r>
    <x v="28"/>
    <n v="102"/>
    <x v="4"/>
    <x v="0"/>
  </r>
  <r>
    <x v="10"/>
    <n v="54"/>
    <x v="4"/>
    <x v="0"/>
  </r>
  <r>
    <x v="35"/>
    <n v="49"/>
    <x v="4"/>
    <x v="0"/>
  </r>
  <r>
    <x v="11"/>
    <n v="36"/>
    <x v="4"/>
    <x v="0"/>
  </r>
  <r>
    <x v="20"/>
    <n v="24"/>
    <x v="4"/>
    <x v="0"/>
  </r>
  <r>
    <x v="36"/>
    <n v="22"/>
    <x v="4"/>
    <x v="0"/>
  </r>
  <r>
    <x v="13"/>
    <n v="8"/>
    <x v="4"/>
    <x v="0"/>
  </r>
  <r>
    <x v="27"/>
    <n v="4"/>
    <x v="4"/>
    <x v="0"/>
  </r>
  <r>
    <x v="23"/>
    <n v="4"/>
    <x v="4"/>
    <x v="0"/>
  </r>
  <r>
    <x v="22"/>
    <n v="2"/>
    <x v="4"/>
    <x v="0"/>
  </r>
  <r>
    <x v="33"/>
    <n v="1"/>
    <x v="4"/>
    <x v="0"/>
  </r>
  <r>
    <x v="19"/>
    <n v="1"/>
    <x v="4"/>
    <x v="0"/>
  </r>
  <r>
    <x v="21"/>
    <n v="1"/>
    <x v="4"/>
    <x v="0"/>
  </r>
  <r>
    <x v="1"/>
    <n v="1155"/>
    <x v="5"/>
    <x v="0"/>
  </r>
  <r>
    <x v="4"/>
    <n v="486"/>
    <x v="5"/>
    <x v="0"/>
  </r>
  <r>
    <x v="3"/>
    <n v="437"/>
    <x v="5"/>
    <x v="0"/>
  </r>
  <r>
    <x v="2"/>
    <n v="435"/>
    <x v="5"/>
    <x v="0"/>
  </r>
  <r>
    <x v="34"/>
    <n v="396"/>
    <x v="5"/>
    <x v="0"/>
  </r>
  <r>
    <x v="5"/>
    <n v="239"/>
    <x v="5"/>
    <x v="0"/>
  </r>
  <r>
    <x v="8"/>
    <n v="199"/>
    <x v="5"/>
    <x v="0"/>
  </r>
  <r>
    <x v="14"/>
    <n v="178"/>
    <x v="5"/>
    <x v="0"/>
  </r>
  <r>
    <x v="15"/>
    <n v="155"/>
    <x v="5"/>
    <x v="0"/>
  </r>
  <r>
    <x v="36"/>
    <n v="155"/>
    <x v="5"/>
    <x v="0"/>
  </r>
  <r>
    <x v="28"/>
    <n v="149"/>
    <x v="5"/>
    <x v="0"/>
  </r>
  <r>
    <x v="11"/>
    <n v="138"/>
    <x v="5"/>
    <x v="0"/>
  </r>
  <r>
    <x v="7"/>
    <n v="129"/>
    <x v="5"/>
    <x v="0"/>
  </r>
  <r>
    <x v="6"/>
    <n v="126"/>
    <x v="5"/>
    <x v="0"/>
  </r>
  <r>
    <x v="16"/>
    <n v="121"/>
    <x v="5"/>
    <x v="0"/>
  </r>
  <r>
    <x v="37"/>
    <n v="113"/>
    <x v="5"/>
    <x v="0"/>
  </r>
  <r>
    <x v="29"/>
    <n v="106"/>
    <x v="5"/>
    <x v="0"/>
  </r>
  <r>
    <x v="32"/>
    <n v="101"/>
    <x v="5"/>
    <x v="0"/>
  </r>
  <r>
    <x v="12"/>
    <n v="99"/>
    <x v="5"/>
    <x v="0"/>
  </r>
  <r>
    <x v="23"/>
    <n v="7"/>
    <x v="5"/>
    <x v="0"/>
  </r>
  <r>
    <x v="26"/>
    <n v="5"/>
    <x v="5"/>
    <x v="0"/>
  </r>
  <r>
    <x v="19"/>
    <n v="2"/>
    <x v="5"/>
    <x v="0"/>
  </r>
  <r>
    <x v="13"/>
    <n v="2"/>
    <x v="5"/>
    <x v="0"/>
  </r>
  <r>
    <x v="27"/>
    <n v="1"/>
    <x v="5"/>
    <x v="0"/>
  </r>
  <r>
    <x v="1"/>
    <n v="1361"/>
    <x v="6"/>
    <x v="0"/>
  </r>
  <r>
    <x v="3"/>
    <n v="600"/>
    <x v="6"/>
    <x v="0"/>
  </r>
  <r>
    <x v="34"/>
    <n v="555"/>
    <x v="6"/>
    <x v="0"/>
  </r>
  <r>
    <x v="2"/>
    <n v="553"/>
    <x v="6"/>
    <x v="0"/>
  </r>
  <r>
    <x v="4"/>
    <n v="546"/>
    <x v="6"/>
    <x v="0"/>
  </r>
  <r>
    <x v="5"/>
    <n v="242"/>
    <x v="6"/>
    <x v="0"/>
  </r>
  <r>
    <x v="14"/>
    <n v="222"/>
    <x v="6"/>
    <x v="0"/>
  </r>
  <r>
    <x v="15"/>
    <n v="210"/>
    <x v="6"/>
    <x v="0"/>
  </r>
  <r>
    <x v="11"/>
    <n v="198"/>
    <x v="6"/>
    <x v="0"/>
  </r>
  <r>
    <x v="7"/>
    <n v="190"/>
    <x v="6"/>
    <x v="0"/>
  </r>
  <r>
    <x v="8"/>
    <n v="189"/>
    <x v="6"/>
    <x v="0"/>
  </r>
  <r>
    <x v="28"/>
    <n v="160"/>
    <x v="6"/>
    <x v="0"/>
  </r>
  <r>
    <x v="32"/>
    <n v="149"/>
    <x v="6"/>
    <x v="0"/>
  </r>
  <r>
    <x v="37"/>
    <n v="125"/>
    <x v="6"/>
    <x v="0"/>
  </r>
  <r>
    <x v="29"/>
    <n v="101"/>
    <x v="6"/>
    <x v="0"/>
  </r>
  <r>
    <x v="16"/>
    <n v="100"/>
    <x v="6"/>
    <x v="0"/>
  </r>
  <r>
    <x v="12"/>
    <n v="98"/>
    <x v="6"/>
    <x v="0"/>
  </r>
  <r>
    <x v="36"/>
    <n v="85"/>
    <x v="6"/>
    <x v="0"/>
  </r>
  <r>
    <x v="6"/>
    <n v="9"/>
    <x v="6"/>
    <x v="0"/>
  </r>
  <r>
    <x v="26"/>
    <n v="8"/>
    <x v="6"/>
    <x v="0"/>
  </r>
  <r>
    <x v="13"/>
    <n v="4"/>
    <x v="6"/>
    <x v="0"/>
  </r>
  <r>
    <x v="19"/>
    <n v="3"/>
    <x v="6"/>
    <x v="0"/>
  </r>
  <r>
    <x v="1"/>
    <n v="1431"/>
    <x v="7"/>
    <x v="0"/>
  </r>
  <r>
    <x v="4"/>
    <n v="549"/>
    <x v="7"/>
    <x v="0"/>
  </r>
  <r>
    <x v="3"/>
    <n v="538"/>
    <x v="7"/>
    <x v="0"/>
  </r>
  <r>
    <x v="2"/>
    <n v="524"/>
    <x v="7"/>
    <x v="0"/>
  </r>
  <r>
    <x v="34"/>
    <n v="477"/>
    <x v="7"/>
    <x v="0"/>
  </r>
  <r>
    <x v="5"/>
    <n v="255"/>
    <x v="7"/>
    <x v="0"/>
  </r>
  <r>
    <x v="15"/>
    <n v="223"/>
    <x v="7"/>
    <x v="0"/>
  </r>
  <r>
    <x v="28"/>
    <n v="184"/>
    <x v="7"/>
    <x v="0"/>
  </r>
  <r>
    <x v="7"/>
    <n v="146"/>
    <x v="7"/>
    <x v="0"/>
  </r>
  <r>
    <x v="6"/>
    <n v="140"/>
    <x v="7"/>
    <x v="0"/>
  </r>
  <r>
    <x v="32"/>
    <n v="135"/>
    <x v="7"/>
    <x v="0"/>
  </r>
  <r>
    <x v="11"/>
    <n v="127"/>
    <x v="7"/>
    <x v="0"/>
  </r>
  <r>
    <x v="14"/>
    <n v="113"/>
    <x v="7"/>
    <x v="0"/>
  </r>
  <r>
    <x v="37"/>
    <n v="106"/>
    <x v="7"/>
    <x v="0"/>
  </r>
  <r>
    <x v="8"/>
    <n v="103"/>
    <x v="7"/>
    <x v="0"/>
  </r>
  <r>
    <x v="12"/>
    <n v="92"/>
    <x v="7"/>
    <x v="0"/>
  </r>
  <r>
    <x v="16"/>
    <n v="84"/>
    <x v="7"/>
    <x v="0"/>
  </r>
  <r>
    <x v="29"/>
    <n v="80"/>
    <x v="7"/>
    <x v="0"/>
  </r>
  <r>
    <x v="36"/>
    <n v="57"/>
    <x v="7"/>
    <x v="0"/>
  </r>
  <r>
    <x v="13"/>
    <n v="4"/>
    <x v="7"/>
    <x v="0"/>
  </r>
  <r>
    <x v="19"/>
    <n v="2"/>
    <x v="7"/>
    <x v="0"/>
  </r>
  <r>
    <x v="21"/>
    <n v="1"/>
    <x v="7"/>
    <x v="0"/>
  </r>
  <r>
    <x v="23"/>
    <n v="1"/>
    <x v="7"/>
    <x v="0"/>
  </r>
  <r>
    <x v="24"/>
    <n v="1"/>
    <x v="7"/>
    <x v="0"/>
  </r>
  <r>
    <x v="22"/>
    <n v="1"/>
    <x v="7"/>
    <x v="0"/>
  </r>
  <r>
    <x v="1"/>
    <n v="1653"/>
    <x v="8"/>
    <x v="0"/>
  </r>
  <r>
    <x v="2"/>
    <n v="638"/>
    <x v="8"/>
    <x v="0"/>
  </r>
  <r>
    <x v="3"/>
    <n v="637"/>
    <x v="8"/>
    <x v="0"/>
  </r>
  <r>
    <x v="4"/>
    <n v="615"/>
    <x v="8"/>
    <x v="0"/>
  </r>
  <r>
    <x v="34"/>
    <n v="553"/>
    <x v="8"/>
    <x v="0"/>
  </r>
  <r>
    <x v="5"/>
    <n v="268"/>
    <x v="8"/>
    <x v="0"/>
  </r>
  <r>
    <x v="28"/>
    <n v="241"/>
    <x v="8"/>
    <x v="0"/>
  </r>
  <r>
    <x v="15"/>
    <n v="220"/>
    <x v="8"/>
    <x v="0"/>
  </r>
  <r>
    <x v="6"/>
    <n v="199"/>
    <x v="8"/>
    <x v="0"/>
  </r>
  <r>
    <x v="32"/>
    <n v="188"/>
    <x v="8"/>
    <x v="0"/>
  </r>
  <r>
    <x v="37"/>
    <n v="158"/>
    <x v="8"/>
    <x v="0"/>
  </r>
  <r>
    <x v="7"/>
    <n v="137"/>
    <x v="8"/>
    <x v="0"/>
  </r>
  <r>
    <x v="11"/>
    <n v="136"/>
    <x v="8"/>
    <x v="0"/>
  </r>
  <r>
    <x v="8"/>
    <n v="120"/>
    <x v="8"/>
    <x v="0"/>
  </r>
  <r>
    <x v="29"/>
    <n v="105"/>
    <x v="8"/>
    <x v="0"/>
  </r>
  <r>
    <x v="12"/>
    <n v="88"/>
    <x v="8"/>
    <x v="0"/>
  </r>
  <r>
    <x v="36"/>
    <n v="57"/>
    <x v="8"/>
    <x v="0"/>
  </r>
  <r>
    <x v="38"/>
    <n v="47"/>
    <x v="8"/>
    <x v="0"/>
  </r>
  <r>
    <x v="16"/>
    <n v="33"/>
    <x v="8"/>
    <x v="0"/>
  </r>
  <r>
    <x v="39"/>
    <n v="32"/>
    <x v="8"/>
    <x v="0"/>
  </r>
  <r>
    <x v="21"/>
    <n v="7"/>
    <x v="8"/>
    <x v="0"/>
  </r>
  <r>
    <x v="22"/>
    <n v="7"/>
    <x v="8"/>
    <x v="0"/>
  </r>
  <r>
    <x v="31"/>
    <n v="3"/>
    <x v="8"/>
    <x v="0"/>
  </r>
  <r>
    <x v="13"/>
    <n v="2"/>
    <x v="8"/>
    <x v="0"/>
  </r>
  <r>
    <x v="27"/>
    <n v="2"/>
    <x v="8"/>
    <x v="0"/>
  </r>
  <r>
    <x v="1"/>
    <n v="1446"/>
    <x v="9"/>
    <x v="0"/>
  </r>
  <r>
    <x v="4"/>
    <n v="749"/>
    <x v="9"/>
    <x v="0"/>
  </r>
  <r>
    <x v="2"/>
    <n v="741"/>
    <x v="9"/>
    <x v="0"/>
  </r>
  <r>
    <x v="34"/>
    <n v="715"/>
    <x v="9"/>
    <x v="0"/>
  </r>
  <r>
    <x v="5"/>
    <n v="290"/>
    <x v="9"/>
    <x v="0"/>
  </r>
  <r>
    <x v="15"/>
    <n v="264"/>
    <x v="9"/>
    <x v="0"/>
  </r>
  <r>
    <x v="28"/>
    <n v="251"/>
    <x v="9"/>
    <x v="0"/>
  </r>
  <r>
    <x v="6"/>
    <n v="221"/>
    <x v="9"/>
    <x v="0"/>
  </r>
  <r>
    <x v="32"/>
    <n v="197"/>
    <x v="9"/>
    <x v="0"/>
  </r>
  <r>
    <x v="37"/>
    <n v="176"/>
    <x v="9"/>
    <x v="0"/>
  </r>
  <r>
    <x v="7"/>
    <n v="176"/>
    <x v="9"/>
    <x v="0"/>
  </r>
  <r>
    <x v="11"/>
    <n v="122"/>
    <x v="9"/>
    <x v="0"/>
  </r>
  <r>
    <x v="16"/>
    <n v="121"/>
    <x v="9"/>
    <x v="0"/>
  </r>
  <r>
    <x v="29"/>
    <n v="100"/>
    <x v="9"/>
    <x v="0"/>
  </r>
  <r>
    <x v="38"/>
    <n v="79"/>
    <x v="9"/>
    <x v="0"/>
  </r>
  <r>
    <x v="12"/>
    <n v="69"/>
    <x v="9"/>
    <x v="0"/>
  </r>
  <r>
    <x v="39"/>
    <n v="54"/>
    <x v="9"/>
    <x v="0"/>
  </r>
  <r>
    <x v="3"/>
    <n v="32"/>
    <x v="9"/>
    <x v="0"/>
  </r>
  <r>
    <x v="36"/>
    <n v="10"/>
    <x v="9"/>
    <x v="0"/>
  </r>
  <r>
    <x v="13"/>
    <n v="4"/>
    <x v="9"/>
    <x v="0"/>
  </r>
  <r>
    <x v="40"/>
    <n v="4"/>
    <x v="9"/>
    <x v="0"/>
  </r>
  <r>
    <x v="22"/>
    <n v="3"/>
    <x v="9"/>
    <x v="0"/>
  </r>
  <r>
    <x v="31"/>
    <n v="2"/>
    <x v="9"/>
    <x v="0"/>
  </r>
  <r>
    <x v="27"/>
    <n v="1"/>
    <x v="9"/>
    <x v="0"/>
  </r>
  <r>
    <x v="1"/>
    <n v="1140"/>
    <x v="10"/>
    <x v="0"/>
  </r>
  <r>
    <x v="3"/>
    <n v="663"/>
    <x v="10"/>
    <x v="0"/>
  </r>
  <r>
    <x v="4"/>
    <n v="622"/>
    <x v="10"/>
    <x v="0"/>
  </r>
  <r>
    <x v="34"/>
    <n v="546"/>
    <x v="10"/>
    <x v="0"/>
  </r>
  <r>
    <x v="5"/>
    <n v="233"/>
    <x v="10"/>
    <x v="0"/>
  </r>
  <r>
    <x v="6"/>
    <n v="210"/>
    <x v="10"/>
    <x v="0"/>
  </r>
  <r>
    <x v="15"/>
    <n v="193"/>
    <x v="10"/>
    <x v="0"/>
  </r>
  <r>
    <x v="28"/>
    <n v="177"/>
    <x v="10"/>
    <x v="0"/>
  </r>
  <r>
    <x v="39"/>
    <n v="167"/>
    <x v="10"/>
    <x v="0"/>
  </r>
  <r>
    <x v="37"/>
    <n v="154"/>
    <x v="10"/>
    <x v="0"/>
  </r>
  <r>
    <x v="16"/>
    <n v="140"/>
    <x v="10"/>
    <x v="0"/>
  </r>
  <r>
    <x v="11"/>
    <n v="123"/>
    <x v="10"/>
    <x v="0"/>
  </r>
  <r>
    <x v="7"/>
    <n v="118"/>
    <x v="10"/>
    <x v="0"/>
  </r>
  <r>
    <x v="29"/>
    <n v="92"/>
    <x v="10"/>
    <x v="0"/>
  </r>
  <r>
    <x v="40"/>
    <n v="81"/>
    <x v="10"/>
    <x v="0"/>
  </r>
  <r>
    <x v="12"/>
    <n v="80"/>
    <x v="10"/>
    <x v="0"/>
  </r>
  <r>
    <x v="38"/>
    <n v="40"/>
    <x v="10"/>
    <x v="0"/>
  </r>
  <r>
    <x v="13"/>
    <n v="4"/>
    <x v="10"/>
    <x v="0"/>
  </r>
  <r>
    <x v="32"/>
    <n v="4"/>
    <x v="10"/>
    <x v="0"/>
  </r>
  <r>
    <x v="41"/>
    <n v="3"/>
    <x v="10"/>
    <x v="0"/>
  </r>
  <r>
    <x v="22"/>
    <n v="2"/>
    <x v="10"/>
    <x v="0"/>
  </r>
  <r>
    <x v="1"/>
    <n v="756"/>
    <x v="11"/>
    <x v="0"/>
  </r>
  <r>
    <x v="34"/>
    <n v="542"/>
    <x v="11"/>
    <x v="0"/>
  </r>
  <r>
    <x v="3"/>
    <n v="510"/>
    <x v="11"/>
    <x v="0"/>
  </r>
  <r>
    <x v="2"/>
    <n v="495"/>
    <x v="11"/>
    <x v="0"/>
  </r>
  <r>
    <x v="6"/>
    <n v="193"/>
    <x v="11"/>
    <x v="0"/>
  </r>
  <r>
    <x v="37"/>
    <n v="181"/>
    <x v="11"/>
    <x v="0"/>
  </r>
  <r>
    <x v="28"/>
    <n v="173"/>
    <x v="11"/>
    <x v="0"/>
  </r>
  <r>
    <x v="5"/>
    <n v="141"/>
    <x v="11"/>
    <x v="0"/>
  </r>
  <r>
    <x v="39"/>
    <n v="131"/>
    <x v="11"/>
    <x v="0"/>
  </r>
  <r>
    <x v="40"/>
    <n v="131"/>
    <x v="11"/>
    <x v="0"/>
  </r>
  <r>
    <x v="7"/>
    <n v="130"/>
    <x v="11"/>
    <x v="0"/>
  </r>
  <r>
    <x v="16"/>
    <n v="109"/>
    <x v="11"/>
    <x v="0"/>
  </r>
  <r>
    <x v="11"/>
    <n v="106"/>
    <x v="11"/>
    <x v="0"/>
  </r>
  <r>
    <x v="15"/>
    <n v="93"/>
    <x v="11"/>
    <x v="0"/>
  </r>
  <r>
    <x v="29"/>
    <n v="90"/>
    <x v="11"/>
    <x v="0"/>
  </r>
  <r>
    <x v="38"/>
    <n v="60"/>
    <x v="11"/>
    <x v="0"/>
  </r>
  <r>
    <x v="31"/>
    <n v="2"/>
    <x v="11"/>
    <x v="0"/>
  </r>
  <r>
    <x v="27"/>
    <n v="2"/>
    <x v="11"/>
    <x v="0"/>
  </r>
  <r>
    <x v="4"/>
    <n v="1"/>
    <x v="11"/>
    <x v="0"/>
  </r>
  <r>
    <x v="1"/>
    <n v="1073"/>
    <x v="0"/>
    <x v="1"/>
  </r>
  <r>
    <x v="3"/>
    <n v="683"/>
    <x v="0"/>
    <x v="1"/>
  </r>
  <r>
    <x v="2"/>
    <n v="680"/>
    <x v="0"/>
    <x v="1"/>
  </r>
  <r>
    <x v="4"/>
    <n v="636"/>
    <x v="0"/>
    <x v="1"/>
  </r>
  <r>
    <x v="34"/>
    <n v="589"/>
    <x v="0"/>
    <x v="1"/>
  </r>
  <r>
    <x v="40"/>
    <n v="212"/>
    <x v="0"/>
    <x v="1"/>
  </r>
  <r>
    <x v="39"/>
    <n v="200"/>
    <x v="0"/>
    <x v="1"/>
  </r>
  <r>
    <x v="5"/>
    <n v="189"/>
    <x v="0"/>
    <x v="1"/>
  </r>
  <r>
    <x v="37"/>
    <n v="189"/>
    <x v="0"/>
    <x v="1"/>
  </r>
  <r>
    <x v="28"/>
    <n v="174"/>
    <x v="0"/>
    <x v="1"/>
  </r>
  <r>
    <x v="6"/>
    <n v="170"/>
    <x v="0"/>
    <x v="1"/>
  </r>
  <r>
    <x v="16"/>
    <n v="114"/>
    <x v="0"/>
    <x v="1"/>
  </r>
  <r>
    <x v="38"/>
    <n v="105"/>
    <x v="0"/>
    <x v="1"/>
  </r>
  <r>
    <x v="11"/>
    <n v="102"/>
    <x v="0"/>
    <x v="1"/>
  </r>
  <r>
    <x v="29"/>
    <n v="88"/>
    <x v="0"/>
    <x v="1"/>
  </r>
  <r>
    <x v="7"/>
    <n v="85"/>
    <x v="0"/>
    <x v="1"/>
  </r>
  <r>
    <x v="12"/>
    <n v="67"/>
    <x v="0"/>
    <x v="1"/>
  </r>
  <r>
    <x v="15"/>
    <n v="24"/>
    <x v="0"/>
    <x v="1"/>
  </r>
  <r>
    <x v="42"/>
    <n v="9"/>
    <x v="0"/>
    <x v="1"/>
  </r>
  <r>
    <x v="41"/>
    <n v="4"/>
    <x v="0"/>
    <x v="1"/>
  </r>
  <r>
    <x v="22"/>
    <n v="2"/>
    <x v="0"/>
    <x v="1"/>
  </r>
  <r>
    <x v="27"/>
    <n v="2"/>
    <x v="0"/>
    <x v="1"/>
  </r>
  <r>
    <x v="1"/>
    <n v="952"/>
    <x v="1"/>
    <x v="1"/>
  </r>
  <r>
    <x v="4"/>
    <n v="426"/>
    <x v="1"/>
    <x v="1"/>
  </r>
  <r>
    <x v="3"/>
    <n v="417"/>
    <x v="1"/>
    <x v="1"/>
  </r>
  <r>
    <x v="34"/>
    <n v="384"/>
    <x v="1"/>
    <x v="1"/>
  </r>
  <r>
    <x v="2"/>
    <n v="374"/>
    <x v="1"/>
    <x v="1"/>
  </r>
  <r>
    <x v="5"/>
    <n v="172"/>
    <x v="1"/>
    <x v="1"/>
  </r>
  <r>
    <x v="37"/>
    <n v="161"/>
    <x v="1"/>
    <x v="1"/>
  </r>
  <r>
    <x v="39"/>
    <n v="157"/>
    <x v="1"/>
    <x v="1"/>
  </r>
  <r>
    <x v="40"/>
    <n v="127"/>
    <x v="1"/>
    <x v="1"/>
  </r>
  <r>
    <x v="6"/>
    <n v="122"/>
    <x v="1"/>
    <x v="1"/>
  </r>
  <r>
    <x v="28"/>
    <n v="114"/>
    <x v="1"/>
    <x v="1"/>
  </r>
  <r>
    <x v="11"/>
    <n v="104"/>
    <x v="1"/>
    <x v="1"/>
  </r>
  <r>
    <x v="15"/>
    <n v="93"/>
    <x v="1"/>
    <x v="1"/>
  </r>
  <r>
    <x v="38"/>
    <n v="91"/>
    <x v="1"/>
    <x v="1"/>
  </r>
  <r>
    <x v="29"/>
    <n v="84"/>
    <x v="1"/>
    <x v="1"/>
  </r>
  <r>
    <x v="16"/>
    <n v="83"/>
    <x v="1"/>
    <x v="1"/>
  </r>
  <r>
    <x v="12"/>
    <n v="72"/>
    <x v="1"/>
    <x v="1"/>
  </r>
  <r>
    <x v="7"/>
    <n v="66"/>
    <x v="1"/>
    <x v="1"/>
  </r>
  <r>
    <x v="42"/>
    <n v="37"/>
    <x v="1"/>
    <x v="1"/>
  </r>
  <r>
    <x v="41"/>
    <n v="6"/>
    <x v="1"/>
    <x v="1"/>
  </r>
  <r>
    <x v="13"/>
    <n v="1"/>
    <x v="1"/>
    <x v="1"/>
  </r>
  <r>
    <x v="1"/>
    <n v="1407"/>
    <x v="2"/>
    <x v="1"/>
  </r>
  <r>
    <x v="2"/>
    <n v="636"/>
    <x v="2"/>
    <x v="1"/>
  </r>
  <r>
    <x v="4"/>
    <n v="631"/>
    <x v="2"/>
    <x v="1"/>
  </r>
  <r>
    <x v="3"/>
    <n v="617"/>
    <x v="2"/>
    <x v="1"/>
  </r>
  <r>
    <x v="34"/>
    <n v="562"/>
    <x v="2"/>
    <x v="1"/>
  </r>
  <r>
    <x v="5"/>
    <n v="289"/>
    <x v="2"/>
    <x v="1"/>
  </r>
  <r>
    <x v="37"/>
    <n v="276"/>
    <x v="2"/>
    <x v="1"/>
  </r>
  <r>
    <x v="28"/>
    <n v="249"/>
    <x v="2"/>
    <x v="1"/>
  </r>
  <r>
    <x v="6"/>
    <n v="231"/>
    <x v="2"/>
    <x v="1"/>
  </r>
  <r>
    <x v="15"/>
    <n v="209"/>
    <x v="2"/>
    <x v="1"/>
  </r>
  <r>
    <x v="7"/>
    <n v="152"/>
    <x v="2"/>
    <x v="1"/>
  </r>
  <r>
    <x v="39"/>
    <n v="143"/>
    <x v="2"/>
    <x v="1"/>
  </r>
  <r>
    <x v="11"/>
    <n v="134"/>
    <x v="2"/>
    <x v="1"/>
  </r>
  <r>
    <x v="16"/>
    <n v="118"/>
    <x v="2"/>
    <x v="1"/>
  </r>
  <r>
    <x v="29"/>
    <n v="118"/>
    <x v="2"/>
    <x v="1"/>
  </r>
  <r>
    <x v="12"/>
    <n v="104"/>
    <x v="2"/>
    <x v="1"/>
  </r>
  <r>
    <x v="38"/>
    <n v="103"/>
    <x v="2"/>
    <x v="1"/>
  </r>
  <r>
    <x v="42"/>
    <n v="43"/>
    <x v="2"/>
    <x v="1"/>
  </r>
  <r>
    <x v="41"/>
    <n v="25"/>
    <x v="2"/>
    <x v="1"/>
  </r>
  <r>
    <x v="40"/>
    <n v="13"/>
    <x v="2"/>
    <x v="1"/>
  </r>
  <r>
    <x v="13"/>
    <n v="5"/>
    <x v="2"/>
    <x v="1"/>
  </r>
  <r>
    <x v="27"/>
    <n v="4"/>
    <x v="2"/>
    <x v="1"/>
  </r>
  <r>
    <x v="22"/>
    <n v="1"/>
    <x v="2"/>
    <x v="1"/>
  </r>
  <r>
    <x v="1"/>
    <n v="1205"/>
    <x v="3"/>
    <x v="1"/>
  </r>
  <r>
    <x v="4"/>
    <n v="616"/>
    <x v="3"/>
    <x v="1"/>
  </r>
  <r>
    <x v="3"/>
    <n v="534"/>
    <x v="3"/>
    <x v="1"/>
  </r>
  <r>
    <x v="2"/>
    <n v="503"/>
    <x v="3"/>
    <x v="1"/>
  </r>
  <r>
    <x v="34"/>
    <n v="431"/>
    <x v="3"/>
    <x v="1"/>
  </r>
  <r>
    <x v="5"/>
    <n v="217"/>
    <x v="3"/>
    <x v="1"/>
  </r>
  <r>
    <x v="6"/>
    <n v="186"/>
    <x v="3"/>
    <x v="1"/>
  </r>
  <r>
    <x v="37"/>
    <n v="171"/>
    <x v="3"/>
    <x v="1"/>
  </r>
  <r>
    <x v="28"/>
    <n v="133"/>
    <x v="3"/>
    <x v="1"/>
  </r>
  <r>
    <x v="39"/>
    <n v="124"/>
    <x v="3"/>
    <x v="1"/>
  </r>
  <r>
    <x v="11"/>
    <n v="112"/>
    <x v="3"/>
    <x v="1"/>
  </r>
  <r>
    <x v="7"/>
    <n v="96"/>
    <x v="3"/>
    <x v="1"/>
  </r>
  <r>
    <x v="12"/>
    <n v="75"/>
    <x v="3"/>
    <x v="1"/>
  </r>
  <r>
    <x v="15"/>
    <n v="73"/>
    <x v="3"/>
    <x v="1"/>
  </r>
  <r>
    <x v="29"/>
    <n v="70"/>
    <x v="3"/>
    <x v="1"/>
  </r>
  <r>
    <x v="43"/>
    <n v="70"/>
    <x v="3"/>
    <x v="1"/>
  </r>
  <r>
    <x v="16"/>
    <n v="66"/>
    <x v="3"/>
    <x v="1"/>
  </r>
  <r>
    <x v="38"/>
    <n v="58"/>
    <x v="3"/>
    <x v="1"/>
  </r>
  <r>
    <x v="42"/>
    <n v="41"/>
    <x v="3"/>
    <x v="1"/>
  </r>
  <r>
    <x v="41"/>
    <n v="18"/>
    <x v="3"/>
    <x v="1"/>
  </r>
  <r>
    <x v="27"/>
    <n v="3"/>
    <x v="3"/>
    <x v="1"/>
  </r>
  <r>
    <x v="13"/>
    <n v="1"/>
    <x v="3"/>
    <x v="1"/>
  </r>
  <r>
    <x v="44"/>
    <n v="1"/>
    <x v="3"/>
    <x v="1"/>
  </r>
  <r>
    <x v="1"/>
    <n v="875"/>
    <x v="4"/>
    <x v="1"/>
  </r>
  <r>
    <x v="4"/>
    <n v="646"/>
    <x v="4"/>
    <x v="1"/>
  </r>
  <r>
    <x v="3"/>
    <n v="573"/>
    <x v="4"/>
    <x v="1"/>
  </r>
  <r>
    <x v="2"/>
    <n v="571"/>
    <x v="4"/>
    <x v="1"/>
  </r>
  <r>
    <x v="34"/>
    <n v="501"/>
    <x v="4"/>
    <x v="1"/>
  </r>
  <r>
    <x v="5"/>
    <n v="227"/>
    <x v="4"/>
    <x v="1"/>
  </r>
  <r>
    <x v="6"/>
    <n v="195"/>
    <x v="4"/>
    <x v="1"/>
  </r>
  <r>
    <x v="39"/>
    <n v="194"/>
    <x v="4"/>
    <x v="1"/>
  </r>
  <r>
    <x v="37"/>
    <n v="179"/>
    <x v="4"/>
    <x v="1"/>
  </r>
  <r>
    <x v="11"/>
    <n v="119"/>
    <x v="4"/>
    <x v="1"/>
  </r>
  <r>
    <x v="28"/>
    <n v="118"/>
    <x v="4"/>
    <x v="1"/>
  </r>
  <r>
    <x v="12"/>
    <n v="95"/>
    <x v="4"/>
    <x v="1"/>
  </r>
  <r>
    <x v="16"/>
    <n v="89"/>
    <x v="4"/>
    <x v="1"/>
  </r>
  <r>
    <x v="7"/>
    <n v="85"/>
    <x v="4"/>
    <x v="1"/>
  </r>
  <r>
    <x v="43"/>
    <n v="75"/>
    <x v="4"/>
    <x v="1"/>
  </r>
  <r>
    <x v="15"/>
    <n v="68"/>
    <x v="4"/>
    <x v="1"/>
  </r>
  <r>
    <x v="29"/>
    <n v="64"/>
    <x v="4"/>
    <x v="1"/>
  </r>
  <r>
    <x v="38"/>
    <n v="57"/>
    <x v="4"/>
    <x v="1"/>
  </r>
  <r>
    <x v="42"/>
    <n v="52"/>
    <x v="4"/>
    <x v="1"/>
  </r>
  <r>
    <x v="41"/>
    <n v="8"/>
    <x v="4"/>
    <x v="1"/>
  </r>
  <r>
    <x v="27"/>
    <n v="2"/>
    <x v="4"/>
    <x v="1"/>
  </r>
  <r>
    <x v="23"/>
    <n v="1"/>
    <x v="4"/>
    <x v="1"/>
  </r>
  <r>
    <x v="22"/>
    <n v="1"/>
    <x v="4"/>
    <x v="1"/>
  </r>
  <r>
    <x v="1"/>
    <n v="1709"/>
    <x v="5"/>
    <x v="1"/>
  </r>
  <r>
    <x v="4"/>
    <n v="614"/>
    <x v="5"/>
    <x v="1"/>
  </r>
  <r>
    <x v="2"/>
    <n v="575"/>
    <x v="5"/>
    <x v="1"/>
  </r>
  <r>
    <x v="3"/>
    <n v="551"/>
    <x v="5"/>
    <x v="1"/>
  </r>
  <r>
    <x v="34"/>
    <n v="464"/>
    <x v="5"/>
    <x v="1"/>
  </r>
  <r>
    <x v="6"/>
    <n v="203"/>
    <x v="5"/>
    <x v="1"/>
  </r>
  <r>
    <x v="5"/>
    <n v="191"/>
    <x v="5"/>
    <x v="1"/>
  </r>
  <r>
    <x v="37"/>
    <n v="187"/>
    <x v="5"/>
    <x v="1"/>
  </r>
  <r>
    <x v="12"/>
    <n v="147"/>
    <x v="5"/>
    <x v="1"/>
  </r>
  <r>
    <x v="39"/>
    <n v="142"/>
    <x v="5"/>
    <x v="1"/>
  </r>
  <r>
    <x v="7"/>
    <n v="120"/>
    <x v="5"/>
    <x v="1"/>
  </r>
  <r>
    <x v="15"/>
    <n v="107"/>
    <x v="5"/>
    <x v="1"/>
  </r>
  <r>
    <x v="16"/>
    <n v="97"/>
    <x v="5"/>
    <x v="1"/>
  </r>
  <r>
    <x v="29"/>
    <n v="73"/>
    <x v="5"/>
    <x v="1"/>
  </r>
  <r>
    <x v="28"/>
    <n v="70"/>
    <x v="5"/>
    <x v="1"/>
  </r>
  <r>
    <x v="42"/>
    <n v="35"/>
    <x v="5"/>
    <x v="1"/>
  </r>
  <r>
    <x v="43"/>
    <n v="31"/>
    <x v="5"/>
    <x v="1"/>
  </r>
  <r>
    <x v="41"/>
    <n v="31"/>
    <x v="5"/>
    <x v="1"/>
  </r>
  <r>
    <x v="38"/>
    <n v="31"/>
    <x v="5"/>
    <x v="1"/>
  </r>
  <r>
    <x v="26"/>
    <n v="2"/>
    <x v="5"/>
    <x v="1"/>
  </r>
  <r>
    <x v="27"/>
    <n v="1"/>
    <x v="5"/>
    <x v="1"/>
  </r>
  <r>
    <x v="13"/>
    <n v="1"/>
    <x v="5"/>
    <x v="1"/>
  </r>
  <r>
    <x v="11"/>
    <n v="1"/>
    <x v="5"/>
    <x v="1"/>
  </r>
  <r>
    <x v="1"/>
    <n v="2379"/>
    <x v="6"/>
    <x v="1"/>
  </r>
  <r>
    <x v="4"/>
    <n v="816"/>
    <x v="6"/>
    <x v="1"/>
  </r>
  <r>
    <x v="2"/>
    <n v="803"/>
    <x v="6"/>
    <x v="1"/>
  </r>
  <r>
    <x v="3"/>
    <n v="751"/>
    <x v="6"/>
    <x v="1"/>
  </r>
  <r>
    <x v="34"/>
    <n v="594"/>
    <x v="6"/>
    <x v="1"/>
  </r>
  <r>
    <x v="5"/>
    <n v="266"/>
    <x v="6"/>
    <x v="1"/>
  </r>
  <r>
    <x v="6"/>
    <n v="243"/>
    <x v="6"/>
    <x v="1"/>
  </r>
  <r>
    <x v="39"/>
    <n v="228"/>
    <x v="6"/>
    <x v="1"/>
  </r>
  <r>
    <x v="11"/>
    <n v="185"/>
    <x v="6"/>
    <x v="1"/>
  </r>
  <r>
    <x v="15"/>
    <n v="111"/>
    <x v="6"/>
    <x v="1"/>
  </r>
  <r>
    <x v="16"/>
    <n v="109"/>
    <x v="6"/>
    <x v="1"/>
  </r>
  <r>
    <x v="12"/>
    <n v="96"/>
    <x v="6"/>
    <x v="1"/>
  </r>
  <r>
    <x v="28"/>
    <n v="95"/>
    <x v="6"/>
    <x v="1"/>
  </r>
  <r>
    <x v="41"/>
    <n v="89"/>
    <x v="6"/>
    <x v="1"/>
  </r>
  <r>
    <x v="45"/>
    <n v="86"/>
    <x v="6"/>
    <x v="1"/>
  </r>
  <r>
    <x v="7"/>
    <n v="79"/>
    <x v="6"/>
    <x v="1"/>
  </r>
  <r>
    <x v="29"/>
    <n v="77"/>
    <x v="6"/>
    <x v="1"/>
  </r>
  <r>
    <x v="37"/>
    <n v="75"/>
    <x v="6"/>
    <x v="1"/>
  </r>
  <r>
    <x v="38"/>
    <n v="60"/>
    <x v="6"/>
    <x v="1"/>
  </r>
  <r>
    <x v="46"/>
    <n v="42"/>
    <x v="6"/>
    <x v="1"/>
  </r>
  <r>
    <x v="30"/>
    <n v="8"/>
    <x v="6"/>
    <x v="1"/>
  </r>
  <r>
    <x v="27"/>
    <n v="7"/>
    <x v="6"/>
    <x v="1"/>
  </r>
  <r>
    <x v="13"/>
    <n v="7"/>
    <x v="6"/>
    <x v="1"/>
  </r>
  <r>
    <x v="21"/>
    <n v="4"/>
    <x v="6"/>
    <x v="1"/>
  </r>
  <r>
    <x v="47"/>
    <n v="2"/>
    <x v="6"/>
    <x v="1"/>
  </r>
  <r>
    <x v="22"/>
    <n v="1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7D483-12DC-4911-AD8D-F57B7BFB1E15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9">
  <location ref="K4:K6" firstHeaderRow="1" firstDataRow="1" firstDataCol="1"/>
  <pivotFields count="6">
    <pivotField name="NOME" showAll="0"/>
    <pivotField showAll="0"/>
    <pivotField axis="axisRow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"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4707D-D51E-4EAB-A8CE-41A0D20AB93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9">
  <location ref="G20:H28" firstHeaderRow="1" firstDataRow="1" firstDataCol="1"/>
  <pivotFields count="6">
    <pivotField name="NOME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dade de Agendamentos" fld="1" baseField="2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FB6D2-D17D-425F-A98E-E1B1C83E848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4">
  <location ref="K1:K2" firstHeaderRow="1" firstDataRow="1" firstDataCol="0"/>
  <pivotFields count="6">
    <pivotField name="NOME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QUANTIDADE" fld="1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009ED-9879-4268-9C08-C4970FB8723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2">
  <location ref="G1:I12" firstHeaderRow="0" firstDataRow="1" firstDataCol="1"/>
  <pivotFields count="6">
    <pivotField name="NOME" axis="axisRow" showAll="0" measureFilter="1" sortType="ascending">
      <items count="49">
        <item x="9"/>
        <item x="29"/>
        <item x="30"/>
        <item x="19"/>
        <item x="13"/>
        <item x="24"/>
        <item x="10"/>
        <item x="7"/>
        <item x="14"/>
        <item x="11"/>
        <item x="8"/>
        <item x="28"/>
        <item x="0"/>
        <item x="15"/>
        <item x="26"/>
        <item x="22"/>
        <item x="4"/>
        <item x="23"/>
        <item x="31"/>
        <item x="16"/>
        <item x="6"/>
        <item x="12"/>
        <item x="21"/>
        <item x="33"/>
        <item x="18"/>
        <item x="32"/>
        <item x="17"/>
        <item x="3"/>
        <item x="25"/>
        <item x="20"/>
        <item x="2"/>
        <item x="27"/>
        <item x="5"/>
        <item x="1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showAll="0">
      <items count="3">
        <item h="1" x="0"/>
        <item x="1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 v="13"/>
    </i>
    <i>
      <x v="9"/>
    </i>
    <i>
      <x v="39"/>
    </i>
    <i>
      <x v="20"/>
    </i>
    <i>
      <x v="32"/>
    </i>
    <i>
      <x v="34"/>
    </i>
    <i>
      <x v="27"/>
    </i>
    <i>
      <x v="30"/>
    </i>
    <i>
      <x v="16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dade de Agendamentos" fld="1" baseField="0" baseItem="25"/>
    <dataField name="% de Agendamentos" fld="5" showDataAs="percentOfTotal" baseField="0" baseItem="25" numFmtId="1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63103CBF-4F15-42D0-8DF9-AE9F209C43AA}" sourceName="Mês">
  <pivotTables>
    <pivotTable tabId="2" name="Tabela dinâmica2"/>
  </pivotTables>
  <data>
    <tabular pivotCacheId="1298459222">
      <items count="12">
        <i x="0"/>
        <i x="1"/>
        <i x="2"/>
        <i x="3"/>
        <i x="4"/>
        <i x="5"/>
        <i x="6" s="1"/>
        <i x="7" nd="1"/>
        <i x="8" nd="1"/>
        <i x="9" nd="1"/>
        <i x="10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504F95D1-AC51-4EA0-97A7-90AE04BF39EC}" sourceName="Ano">
  <pivotTables>
    <pivotTable tabId="2" name="Tabela dinâmica4"/>
    <pivotTable tabId="2" name="Tabela dinâmica3"/>
    <pivotTable tabId="2" name="Tabela dinâmica2"/>
  </pivotTables>
  <data>
    <tabular pivotCacheId="1298459222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71480BB-1589-4184-A6E4-D7C7A252E996}" cache="SegmentaçãodeDados_Mês" caption="Mês" style="Solb" rowHeight="234950"/>
  <slicer name="Ano" xr10:uid="{FE9A010B-3A4D-408C-ACEE-CD98BC540D8D}" cache="SegmentaçãodeDados_Ano" caption="Ano" style="Solb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55966C-4244-4817-B361-FC127DB0ED1C}" name="Tabela5" displayName="Tabela5" ref="G63:I75" totalsRowShown="0">
  <autoFilter ref="G63:I75" xr:uid="{9C55966C-4244-4817-B361-FC127DB0ED1C}"/>
  <tableColumns count="3">
    <tableColumn id="1" xr3:uid="{CB4B04E9-444E-4FBE-9CD2-73BC5C05614E}" name="Mês" dataDxfId="7"/>
    <tableColumn id="2" xr3:uid="{A0385800-905A-4015-B5A3-CAED954F61E3}" name="Quantidade"/>
    <tableColumn id="3" xr3:uid="{71DC4C34-58C8-4D18-9314-543694EFBD74}" name="Porcentagem">
      <calculatedColumnFormula>Tabela5[[#This Row],[Quantidade]]/GETPIVOTDATA("Titulo",$K$1)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E55FB-C46E-4206-B984-94B2235BB232}" name="_9aacsokpj" displayName="_9aacsokpj" ref="A1:D459" totalsRowShown="0" headerRowDxfId="6" dataDxfId="5" tableBorderDxfId="4">
  <autoFilter ref="A1:D459" xr:uid="{A02E55FB-C46E-4206-B984-94B2235BB232}"/>
  <tableColumns count="4">
    <tableColumn id="1" xr3:uid="{C75EC0B0-319C-493A-BE2F-900F6B36641C}" name="category" dataDxfId="3"/>
    <tableColumn id="2" xr3:uid="{F23A1236-5A73-4343-B8D3-9A2F6C4D6AB7}" name="Titulo" dataDxfId="2"/>
    <tableColumn id="3" xr3:uid="{9CAA9B84-F83B-4651-BF85-9B6AAF8F9441}" name="Mês" dataDxfId="1"/>
    <tableColumn id="4" xr3:uid="{EBCEE583-1FA5-411D-81C4-25B768982862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3249-5EA1-4775-ABCD-C23D3F89D402}">
  <dimension ref="A1:A21"/>
  <sheetViews>
    <sheetView tabSelected="1" zoomScale="90" zoomScaleNormal="90" workbookViewId="0">
      <selection activeCell="H4" sqref="H4"/>
    </sheetView>
  </sheetViews>
  <sheetFormatPr defaultColWidth="8.85546875" defaultRowHeight="15" x14ac:dyDescent="0.25"/>
  <cols>
    <col min="1" max="16384" width="8.85546875" style="4"/>
  </cols>
  <sheetData>
    <row r="1" s="9" customFormat="1" x14ac:dyDescent="0.25"/>
    <row r="2" s="9" customFormat="1" x14ac:dyDescent="0.25"/>
    <row r="3" s="9" customFormat="1" x14ac:dyDescent="0.25"/>
    <row r="4" s="3" customFormat="1" x14ac:dyDescent="0.25"/>
    <row r="21" s="3" customFormat="1" x14ac:dyDescent="0.25"/>
  </sheetData>
  <mergeCells count="1">
    <mergeCell ref="A1:XFD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2215-C167-43DB-9988-9E347CBD3406}">
  <dimension ref="A1:K459"/>
  <sheetViews>
    <sheetView zoomScale="70" zoomScaleNormal="70" workbookViewId="0">
      <selection activeCell="H4" sqref="H4"/>
    </sheetView>
  </sheetViews>
  <sheetFormatPr defaultRowHeight="15" x14ac:dyDescent="0.25"/>
  <cols>
    <col min="1" max="1" width="40.28515625" customWidth="1"/>
    <col min="2" max="2" width="9.85546875" customWidth="1"/>
    <col min="3" max="3" width="11" bestFit="1" customWidth="1"/>
    <col min="5" max="5" width="29.140625" bestFit="1" customWidth="1"/>
    <col min="6" max="6" width="27.140625" bestFit="1" customWidth="1"/>
    <col min="7" max="7" width="41.7109375" bestFit="1" customWidth="1"/>
    <col min="8" max="8" width="37.140625" bestFit="1" customWidth="1"/>
    <col min="9" max="9" width="25.28515625" bestFit="1" customWidth="1"/>
    <col min="10" max="10" width="11" bestFit="1" customWidth="1"/>
    <col min="11" max="11" width="17.140625" bestFit="1" customWidth="1"/>
    <col min="12" max="12" width="14.42578125" bestFit="1" customWidth="1"/>
  </cols>
  <sheetData>
    <row r="1" spans="1:11" x14ac:dyDescent="0.25">
      <c r="A1" s="8" t="s">
        <v>0</v>
      </c>
      <c r="B1" s="8" t="s">
        <v>1</v>
      </c>
      <c r="C1" s="8" t="s">
        <v>28</v>
      </c>
      <c r="D1" s="8" t="s">
        <v>64</v>
      </c>
      <c r="G1" s="1" t="s">
        <v>49</v>
      </c>
      <c r="H1" t="s">
        <v>52</v>
      </c>
      <c r="I1" t="s">
        <v>61</v>
      </c>
      <c r="K1" t="s">
        <v>51</v>
      </c>
    </row>
    <row r="2" spans="1:11" x14ac:dyDescent="0.25">
      <c r="A2" s="7" t="s">
        <v>2</v>
      </c>
      <c r="B2" s="7">
        <v>617</v>
      </c>
      <c r="C2" s="7" t="s">
        <v>29</v>
      </c>
      <c r="D2" s="7">
        <v>2025</v>
      </c>
      <c r="G2" s="2" t="s">
        <v>17</v>
      </c>
      <c r="H2" s="10">
        <v>111</v>
      </c>
      <c r="I2" s="5">
        <v>1.7409033877038897E-2</v>
      </c>
      <c r="K2">
        <v>37705</v>
      </c>
    </row>
    <row r="3" spans="1:11" x14ac:dyDescent="0.25">
      <c r="A3" s="7" t="s">
        <v>3</v>
      </c>
      <c r="B3" s="7">
        <v>614</v>
      </c>
      <c r="C3" s="7" t="s">
        <v>29</v>
      </c>
      <c r="D3" s="7">
        <v>2025</v>
      </c>
      <c r="G3" s="2" t="s">
        <v>13</v>
      </c>
      <c r="H3" s="10">
        <v>185</v>
      </c>
      <c r="I3" s="5">
        <v>2.9015056461731494E-2</v>
      </c>
    </row>
    <row r="4" spans="1:11" x14ac:dyDescent="0.25">
      <c r="A4" s="7" t="s">
        <v>4</v>
      </c>
      <c r="B4" s="7">
        <v>530</v>
      </c>
      <c r="C4" s="7" t="s">
        <v>29</v>
      </c>
      <c r="D4" s="7">
        <v>2025</v>
      </c>
      <c r="G4" s="2" t="s">
        <v>60</v>
      </c>
      <c r="H4" s="10">
        <v>228</v>
      </c>
      <c r="I4" s="5">
        <v>3.5759096612296114E-2</v>
      </c>
      <c r="K4" s="1" t="s">
        <v>49</v>
      </c>
    </row>
    <row r="5" spans="1:11" x14ac:dyDescent="0.25">
      <c r="A5" s="7" t="s">
        <v>5</v>
      </c>
      <c r="B5" s="7">
        <v>510</v>
      </c>
      <c r="C5" s="7" t="s">
        <v>29</v>
      </c>
      <c r="D5" s="7">
        <v>2025</v>
      </c>
      <c r="G5" s="2" t="s">
        <v>8</v>
      </c>
      <c r="H5" s="10">
        <v>243</v>
      </c>
      <c r="I5" s="5">
        <v>3.8111668757841909E-2</v>
      </c>
      <c r="K5" s="2" t="s">
        <v>33</v>
      </c>
    </row>
    <row r="6" spans="1:11" x14ac:dyDescent="0.25">
      <c r="A6" s="7" t="s">
        <v>6</v>
      </c>
      <c r="B6" s="7">
        <v>442</v>
      </c>
      <c r="C6" s="7" t="s">
        <v>29</v>
      </c>
      <c r="D6" s="7">
        <v>2025</v>
      </c>
      <c r="G6" s="2" t="s">
        <v>7</v>
      </c>
      <c r="H6" s="10">
        <v>266</v>
      </c>
      <c r="I6" s="5">
        <v>4.1718946047678798E-2</v>
      </c>
      <c r="K6" s="2" t="s">
        <v>50</v>
      </c>
    </row>
    <row r="7" spans="1:11" x14ac:dyDescent="0.25">
      <c r="A7" s="7" t="s">
        <v>7</v>
      </c>
      <c r="B7" s="7">
        <v>228</v>
      </c>
      <c r="C7" s="7" t="s">
        <v>29</v>
      </c>
      <c r="D7" s="7">
        <v>2025</v>
      </c>
      <c r="G7" s="2" t="s">
        <v>54</v>
      </c>
      <c r="H7" s="10">
        <v>594</v>
      </c>
      <c r="I7" s="5">
        <v>9.3161856963613551E-2</v>
      </c>
    </row>
    <row r="8" spans="1:11" x14ac:dyDescent="0.25">
      <c r="A8" s="7" t="s">
        <v>8</v>
      </c>
      <c r="B8" s="7">
        <v>203</v>
      </c>
      <c r="C8" s="7" t="s">
        <v>29</v>
      </c>
      <c r="D8" s="7">
        <v>2025</v>
      </c>
      <c r="G8" s="2" t="s">
        <v>5</v>
      </c>
      <c r="H8" s="10">
        <v>751</v>
      </c>
      <c r="I8" s="5">
        <v>0.11778544542032622</v>
      </c>
    </row>
    <row r="9" spans="1:11" x14ac:dyDescent="0.25">
      <c r="A9" s="7" t="s">
        <v>9</v>
      </c>
      <c r="B9" s="7">
        <v>200</v>
      </c>
      <c r="C9" s="7" t="s">
        <v>29</v>
      </c>
      <c r="D9" s="7">
        <v>2025</v>
      </c>
      <c r="G9" s="2" t="s">
        <v>4</v>
      </c>
      <c r="H9" s="10">
        <v>803</v>
      </c>
      <c r="I9" s="5">
        <v>0.12594102885821831</v>
      </c>
    </row>
    <row r="10" spans="1:11" x14ac:dyDescent="0.25">
      <c r="A10" s="7" t="s">
        <v>10</v>
      </c>
      <c r="B10" s="7">
        <v>186</v>
      </c>
      <c r="C10" s="7" t="s">
        <v>29</v>
      </c>
      <c r="D10" s="7">
        <v>2025</v>
      </c>
      <c r="G10" s="2" t="s">
        <v>6</v>
      </c>
      <c r="H10" s="10">
        <v>816</v>
      </c>
      <c r="I10" s="5">
        <v>0.12797992471769135</v>
      </c>
    </row>
    <row r="11" spans="1:11" x14ac:dyDescent="0.25">
      <c r="A11" s="7" t="s">
        <v>11</v>
      </c>
      <c r="B11" s="7">
        <v>137</v>
      </c>
      <c r="C11" s="7" t="s">
        <v>29</v>
      </c>
      <c r="D11" s="7">
        <v>2025</v>
      </c>
      <c r="G11" s="2" t="s">
        <v>3</v>
      </c>
      <c r="H11" s="10">
        <v>2379</v>
      </c>
      <c r="I11" s="5">
        <v>0.37311794228356338</v>
      </c>
    </row>
    <row r="12" spans="1:11" x14ac:dyDescent="0.25">
      <c r="A12" s="7" t="s">
        <v>12</v>
      </c>
      <c r="B12" s="7">
        <v>127</v>
      </c>
      <c r="C12" s="7" t="s">
        <v>29</v>
      </c>
      <c r="D12" s="7">
        <v>2025</v>
      </c>
      <c r="G12" s="2" t="s">
        <v>50</v>
      </c>
      <c r="H12" s="10">
        <v>6376</v>
      </c>
      <c r="I12" s="5">
        <v>1</v>
      </c>
    </row>
    <row r="13" spans="1:11" x14ac:dyDescent="0.25">
      <c r="A13" s="7" t="s">
        <v>13</v>
      </c>
      <c r="B13" s="7">
        <v>110</v>
      </c>
      <c r="C13" s="7" t="s">
        <v>29</v>
      </c>
      <c r="D13" s="7">
        <v>2025</v>
      </c>
    </row>
    <row r="14" spans="1:11" x14ac:dyDescent="0.25">
      <c r="A14" s="7" t="s">
        <v>14</v>
      </c>
      <c r="B14" s="7">
        <v>92</v>
      </c>
      <c r="C14" s="7" t="s">
        <v>29</v>
      </c>
      <c r="D14" s="7">
        <v>2025</v>
      </c>
    </row>
    <row r="15" spans="1:11" x14ac:dyDescent="0.25">
      <c r="A15" s="7" t="s">
        <v>15</v>
      </c>
      <c r="B15" s="7">
        <v>91</v>
      </c>
      <c r="C15" s="7" t="s">
        <v>29</v>
      </c>
      <c r="D15" s="7">
        <v>2025</v>
      </c>
    </row>
    <row r="16" spans="1:11" x14ac:dyDescent="0.25">
      <c r="A16" s="7" t="s">
        <v>16</v>
      </c>
      <c r="B16" s="7">
        <v>80</v>
      </c>
      <c r="C16" s="7" t="s">
        <v>29</v>
      </c>
      <c r="D16" s="7">
        <v>2025</v>
      </c>
    </row>
    <row r="17" spans="1:8" x14ac:dyDescent="0.25">
      <c r="A17" s="7" t="s">
        <v>17</v>
      </c>
      <c r="B17" s="7">
        <v>78</v>
      </c>
      <c r="C17" s="7" t="s">
        <v>29</v>
      </c>
      <c r="D17" s="7">
        <v>2025</v>
      </c>
    </row>
    <row r="18" spans="1:8" x14ac:dyDescent="0.25">
      <c r="A18" s="7" t="s">
        <v>18</v>
      </c>
      <c r="B18" s="7">
        <v>75</v>
      </c>
      <c r="C18" s="7" t="s">
        <v>29</v>
      </c>
      <c r="D18" s="7">
        <v>2025</v>
      </c>
    </row>
    <row r="19" spans="1:8" x14ac:dyDescent="0.25">
      <c r="A19" s="7" t="s">
        <v>19</v>
      </c>
      <c r="B19" s="7">
        <v>71</v>
      </c>
      <c r="C19" s="7" t="s">
        <v>29</v>
      </c>
      <c r="D19" s="7">
        <v>2025</v>
      </c>
    </row>
    <row r="20" spans="1:8" x14ac:dyDescent="0.25">
      <c r="A20" s="7" t="s">
        <v>20</v>
      </c>
      <c r="B20" s="7">
        <v>34</v>
      </c>
      <c r="C20" s="7" t="s">
        <v>29</v>
      </c>
      <c r="D20" s="7">
        <v>2025</v>
      </c>
      <c r="G20" s="1" t="s">
        <v>49</v>
      </c>
      <c r="H20" t="s">
        <v>52</v>
      </c>
    </row>
    <row r="21" spans="1:8" x14ac:dyDescent="0.25">
      <c r="A21" s="7" t="s">
        <v>21</v>
      </c>
      <c r="B21" s="7">
        <v>20</v>
      </c>
      <c r="C21" s="7" t="s">
        <v>29</v>
      </c>
      <c r="D21" s="7">
        <v>2025</v>
      </c>
      <c r="G21" s="2" t="s">
        <v>29</v>
      </c>
      <c r="H21">
        <v>5397</v>
      </c>
    </row>
    <row r="22" spans="1:8" x14ac:dyDescent="0.25">
      <c r="A22" s="7" t="s">
        <v>22</v>
      </c>
      <c r="B22" s="7">
        <v>10</v>
      </c>
      <c r="C22" s="7" t="s">
        <v>29</v>
      </c>
      <c r="D22" s="7">
        <v>2025</v>
      </c>
      <c r="G22" s="2" t="s">
        <v>30</v>
      </c>
      <c r="H22">
        <v>4043</v>
      </c>
    </row>
    <row r="23" spans="1:8" x14ac:dyDescent="0.25">
      <c r="A23" s="7" t="s">
        <v>23</v>
      </c>
      <c r="B23" s="7">
        <v>9</v>
      </c>
      <c r="C23" s="7" t="s">
        <v>29</v>
      </c>
      <c r="D23" s="7">
        <v>2025</v>
      </c>
      <c r="G23" s="2" t="s">
        <v>31</v>
      </c>
      <c r="H23">
        <v>6070</v>
      </c>
    </row>
    <row r="24" spans="1:8" x14ac:dyDescent="0.25">
      <c r="A24" s="7" t="s">
        <v>24</v>
      </c>
      <c r="B24" s="7">
        <v>6</v>
      </c>
      <c r="C24" s="7" t="s">
        <v>29</v>
      </c>
      <c r="D24" s="7">
        <v>2025</v>
      </c>
      <c r="G24" s="2" t="s">
        <v>32</v>
      </c>
      <c r="H24">
        <v>4804</v>
      </c>
    </row>
    <row r="25" spans="1:8" x14ac:dyDescent="0.25">
      <c r="A25" s="7" t="s">
        <v>25</v>
      </c>
      <c r="B25" s="7">
        <v>5</v>
      </c>
      <c r="C25" s="7" t="s">
        <v>29</v>
      </c>
      <c r="D25" s="7">
        <v>2025</v>
      </c>
      <c r="G25" s="2" t="s">
        <v>33</v>
      </c>
      <c r="H25">
        <v>4795</v>
      </c>
    </row>
    <row r="26" spans="1:8" x14ac:dyDescent="0.25">
      <c r="A26" s="7" t="s">
        <v>26</v>
      </c>
      <c r="B26" s="7">
        <v>3</v>
      </c>
      <c r="C26" s="7" t="s">
        <v>29</v>
      </c>
      <c r="D26" s="7">
        <v>2025</v>
      </c>
      <c r="G26" s="2" t="s">
        <v>34</v>
      </c>
      <c r="H26">
        <v>5383</v>
      </c>
    </row>
    <row r="27" spans="1:8" x14ac:dyDescent="0.25">
      <c r="A27" s="7" t="s">
        <v>27</v>
      </c>
      <c r="B27" s="7">
        <v>2</v>
      </c>
      <c r="C27" s="7" t="s">
        <v>29</v>
      </c>
      <c r="D27" s="7">
        <v>2025</v>
      </c>
      <c r="G27" s="2" t="s">
        <v>35</v>
      </c>
      <c r="H27">
        <v>7213</v>
      </c>
    </row>
    <row r="28" spans="1:8" x14ac:dyDescent="0.25">
      <c r="A28" s="7" t="s">
        <v>3</v>
      </c>
      <c r="B28" s="7">
        <v>534</v>
      </c>
      <c r="C28" s="7" t="s">
        <v>30</v>
      </c>
      <c r="D28" s="7">
        <v>2025</v>
      </c>
      <c r="G28" s="2" t="s">
        <v>50</v>
      </c>
      <c r="H28">
        <v>37705</v>
      </c>
    </row>
    <row r="29" spans="1:8" x14ac:dyDescent="0.25">
      <c r="A29" s="7" t="s">
        <v>2</v>
      </c>
      <c r="B29" s="7">
        <v>483</v>
      </c>
      <c r="C29" s="7" t="s">
        <v>30</v>
      </c>
      <c r="D29" s="7">
        <v>2025</v>
      </c>
    </row>
    <row r="30" spans="1:8" x14ac:dyDescent="0.25">
      <c r="A30" s="7" t="s">
        <v>4</v>
      </c>
      <c r="B30" s="7">
        <v>414</v>
      </c>
      <c r="C30" s="7" t="s">
        <v>30</v>
      </c>
      <c r="D30" s="7">
        <v>2025</v>
      </c>
    </row>
    <row r="31" spans="1:8" x14ac:dyDescent="0.25">
      <c r="A31" s="7" t="s">
        <v>5</v>
      </c>
      <c r="B31" s="7">
        <v>388</v>
      </c>
      <c r="C31" s="7" t="s">
        <v>30</v>
      </c>
      <c r="D31" s="7">
        <v>2025</v>
      </c>
    </row>
    <row r="32" spans="1:8" x14ac:dyDescent="0.25">
      <c r="A32" s="7" t="s">
        <v>6</v>
      </c>
      <c r="B32" s="7">
        <v>350</v>
      </c>
      <c r="C32" s="7" t="s">
        <v>30</v>
      </c>
      <c r="D32" s="7">
        <v>2025</v>
      </c>
    </row>
    <row r="33" spans="1:4" x14ac:dyDescent="0.25">
      <c r="A33" s="7" t="s">
        <v>7</v>
      </c>
      <c r="B33" s="7">
        <v>255</v>
      </c>
      <c r="C33" s="7" t="s">
        <v>30</v>
      </c>
      <c r="D33" s="7">
        <v>2025</v>
      </c>
    </row>
    <row r="34" spans="1:4" x14ac:dyDescent="0.25">
      <c r="A34" s="7" t="s">
        <v>10</v>
      </c>
      <c r="B34" s="7">
        <v>185</v>
      </c>
      <c r="C34" s="7" t="s">
        <v>30</v>
      </c>
      <c r="D34" s="7">
        <v>2025</v>
      </c>
    </row>
    <row r="35" spans="1:4" x14ac:dyDescent="0.25">
      <c r="A35" s="7" t="s">
        <v>20</v>
      </c>
      <c r="B35" s="7">
        <v>163</v>
      </c>
      <c r="C35" s="7" t="s">
        <v>30</v>
      </c>
      <c r="D35" s="7">
        <v>2025</v>
      </c>
    </row>
    <row r="36" spans="1:4" x14ac:dyDescent="0.25">
      <c r="A36" s="7" t="s">
        <v>11</v>
      </c>
      <c r="B36" s="7">
        <v>162</v>
      </c>
      <c r="C36" s="7" t="s">
        <v>30</v>
      </c>
      <c r="D36" s="7">
        <v>2025</v>
      </c>
    </row>
    <row r="37" spans="1:4" x14ac:dyDescent="0.25">
      <c r="A37" s="7" t="s">
        <v>8</v>
      </c>
      <c r="B37" s="7">
        <v>160</v>
      </c>
      <c r="C37" s="7" t="s">
        <v>30</v>
      </c>
      <c r="D37" s="7">
        <v>2025</v>
      </c>
    </row>
    <row r="38" spans="1:4" x14ac:dyDescent="0.25">
      <c r="A38" s="7" t="s">
        <v>13</v>
      </c>
      <c r="B38" s="7">
        <v>130</v>
      </c>
      <c r="C38" s="7" t="s">
        <v>30</v>
      </c>
      <c r="D38" s="7">
        <v>2025</v>
      </c>
    </row>
    <row r="39" spans="1:4" x14ac:dyDescent="0.25">
      <c r="A39" s="7" t="s">
        <v>14</v>
      </c>
      <c r="B39" s="7">
        <v>113</v>
      </c>
      <c r="C39" s="7" t="s">
        <v>30</v>
      </c>
      <c r="D39" s="7">
        <v>2025</v>
      </c>
    </row>
    <row r="40" spans="1:4" x14ac:dyDescent="0.25">
      <c r="A40" s="7" t="s">
        <v>19</v>
      </c>
      <c r="B40" s="7">
        <v>112</v>
      </c>
      <c r="C40" s="7" t="s">
        <v>30</v>
      </c>
      <c r="D40" s="7">
        <v>2025</v>
      </c>
    </row>
    <row r="41" spans="1:4" x14ac:dyDescent="0.25">
      <c r="A41" s="7" t="s">
        <v>9</v>
      </c>
      <c r="B41" s="7">
        <v>110</v>
      </c>
      <c r="C41" s="7" t="s">
        <v>30</v>
      </c>
      <c r="D41" s="7">
        <v>2025</v>
      </c>
    </row>
    <row r="42" spans="1:4" x14ac:dyDescent="0.25">
      <c r="A42" s="7" t="s">
        <v>17</v>
      </c>
      <c r="B42" s="7">
        <v>109</v>
      </c>
      <c r="C42" s="7" t="s">
        <v>30</v>
      </c>
      <c r="D42" s="7">
        <v>2025</v>
      </c>
    </row>
    <row r="43" spans="1:4" x14ac:dyDescent="0.25">
      <c r="A43" s="7" t="s">
        <v>12</v>
      </c>
      <c r="B43" s="7">
        <v>101</v>
      </c>
      <c r="C43" s="7" t="s">
        <v>30</v>
      </c>
      <c r="D43" s="7">
        <v>2025</v>
      </c>
    </row>
    <row r="44" spans="1:4" x14ac:dyDescent="0.25">
      <c r="A44" s="7" t="s">
        <v>18</v>
      </c>
      <c r="B44" s="7">
        <v>100</v>
      </c>
      <c r="C44" s="7" t="s">
        <v>30</v>
      </c>
      <c r="D44" s="7">
        <v>2025</v>
      </c>
    </row>
    <row r="45" spans="1:4" x14ac:dyDescent="0.25">
      <c r="A45" s="7" t="s">
        <v>16</v>
      </c>
      <c r="B45" s="7">
        <v>85</v>
      </c>
      <c r="C45" s="7" t="s">
        <v>30</v>
      </c>
      <c r="D45" s="7">
        <v>2025</v>
      </c>
    </row>
    <row r="46" spans="1:4" x14ac:dyDescent="0.25">
      <c r="A46" s="7" t="s">
        <v>22</v>
      </c>
      <c r="B46" s="7">
        <v>16</v>
      </c>
      <c r="C46" s="7" t="s">
        <v>30</v>
      </c>
      <c r="D46" s="7">
        <v>2025</v>
      </c>
    </row>
    <row r="47" spans="1:4" x14ac:dyDescent="0.25">
      <c r="A47" s="7" t="s">
        <v>21</v>
      </c>
      <c r="B47" s="7">
        <v>3</v>
      </c>
      <c r="C47" s="7" t="s">
        <v>30</v>
      </c>
      <c r="D47" s="7">
        <v>2025</v>
      </c>
    </row>
    <row r="48" spans="1:4" x14ac:dyDescent="0.25">
      <c r="A48" s="7" t="s">
        <v>41</v>
      </c>
      <c r="B48" s="7">
        <v>2</v>
      </c>
      <c r="C48" s="7" t="s">
        <v>30</v>
      </c>
      <c r="D48" s="7">
        <v>2025</v>
      </c>
    </row>
    <row r="49" spans="1:9" x14ac:dyDescent="0.25">
      <c r="A49" s="7" t="s">
        <v>24</v>
      </c>
      <c r="B49" s="7">
        <v>2</v>
      </c>
      <c r="C49" s="7" t="s">
        <v>30</v>
      </c>
      <c r="D49" s="7">
        <v>2025</v>
      </c>
    </row>
    <row r="50" spans="1:9" x14ac:dyDescent="0.25">
      <c r="A50" s="7" t="s">
        <v>27</v>
      </c>
      <c r="B50" s="7">
        <v>2</v>
      </c>
      <c r="C50" s="7" t="s">
        <v>30</v>
      </c>
      <c r="D50" s="7">
        <v>2025</v>
      </c>
    </row>
    <row r="51" spans="1:9" x14ac:dyDescent="0.25">
      <c r="A51" s="7" t="s">
        <v>15</v>
      </c>
      <c r="B51" s="7">
        <v>2</v>
      </c>
      <c r="C51" s="7" t="s">
        <v>30</v>
      </c>
      <c r="D51" s="7">
        <v>2025</v>
      </c>
    </row>
    <row r="52" spans="1:9" x14ac:dyDescent="0.25">
      <c r="A52" s="7" t="s">
        <v>25</v>
      </c>
      <c r="B52" s="7">
        <v>1</v>
      </c>
      <c r="C52" s="7" t="s">
        <v>30</v>
      </c>
      <c r="D52" s="7">
        <v>2025</v>
      </c>
    </row>
    <row r="53" spans="1:9" x14ac:dyDescent="0.25">
      <c r="A53" s="7" t="s">
        <v>42</v>
      </c>
      <c r="B53" s="7">
        <v>1</v>
      </c>
      <c r="C53" s="7" t="s">
        <v>30</v>
      </c>
      <c r="D53" s="7">
        <v>2025</v>
      </c>
    </row>
    <row r="54" spans="1:9" x14ac:dyDescent="0.25">
      <c r="A54" s="7" t="s">
        <v>23</v>
      </c>
      <c r="B54" s="7">
        <v>1</v>
      </c>
      <c r="C54" s="7" t="s">
        <v>30</v>
      </c>
      <c r="D54" s="7">
        <v>2025</v>
      </c>
    </row>
    <row r="55" spans="1:9" x14ac:dyDescent="0.25">
      <c r="A55" s="7" t="s">
        <v>3</v>
      </c>
      <c r="B55" s="7">
        <v>716</v>
      </c>
      <c r="C55" s="7" t="s">
        <v>31</v>
      </c>
      <c r="D55" s="7">
        <v>2025</v>
      </c>
    </row>
    <row r="56" spans="1:9" x14ac:dyDescent="0.25">
      <c r="A56" s="7" t="s">
        <v>2</v>
      </c>
      <c r="B56" s="7">
        <v>647</v>
      </c>
      <c r="C56" s="7" t="s">
        <v>31</v>
      </c>
      <c r="D56" s="7">
        <v>2025</v>
      </c>
    </row>
    <row r="57" spans="1:9" x14ac:dyDescent="0.25">
      <c r="A57" s="7" t="s">
        <v>5</v>
      </c>
      <c r="B57" s="7">
        <v>487</v>
      </c>
      <c r="C57" s="7" t="s">
        <v>31</v>
      </c>
      <c r="D57" s="7">
        <v>2025</v>
      </c>
    </row>
    <row r="58" spans="1:9" x14ac:dyDescent="0.25">
      <c r="A58" s="7" t="s">
        <v>4</v>
      </c>
      <c r="B58" s="7">
        <v>446</v>
      </c>
      <c r="C58" s="7" t="s">
        <v>31</v>
      </c>
      <c r="D58" s="7">
        <v>2025</v>
      </c>
    </row>
    <row r="59" spans="1:9" x14ac:dyDescent="0.25">
      <c r="A59" s="7" t="s">
        <v>6</v>
      </c>
      <c r="B59" s="7">
        <v>444</v>
      </c>
      <c r="C59" s="7" t="s">
        <v>31</v>
      </c>
      <c r="D59" s="7">
        <v>2025</v>
      </c>
    </row>
    <row r="60" spans="1:9" x14ac:dyDescent="0.25">
      <c r="A60" s="7" t="s">
        <v>7</v>
      </c>
      <c r="B60" s="7">
        <v>225</v>
      </c>
      <c r="C60" s="7" t="s">
        <v>31</v>
      </c>
      <c r="D60" s="7">
        <v>2025</v>
      </c>
    </row>
    <row r="61" spans="1:9" x14ac:dyDescent="0.25">
      <c r="A61" s="7" t="s">
        <v>9</v>
      </c>
      <c r="B61" s="7">
        <v>178</v>
      </c>
      <c r="C61" s="7" t="s">
        <v>31</v>
      </c>
      <c r="D61" s="7">
        <v>2025</v>
      </c>
    </row>
    <row r="62" spans="1:9" x14ac:dyDescent="0.25">
      <c r="A62" s="7" t="s">
        <v>10</v>
      </c>
      <c r="B62" s="7">
        <v>170</v>
      </c>
      <c r="C62" s="7" t="s">
        <v>31</v>
      </c>
      <c r="D62" s="7">
        <v>2025</v>
      </c>
    </row>
    <row r="63" spans="1:9" x14ac:dyDescent="0.25">
      <c r="A63" s="7" t="s">
        <v>8</v>
      </c>
      <c r="B63" s="7">
        <v>139</v>
      </c>
      <c r="C63" s="7" t="s">
        <v>31</v>
      </c>
      <c r="D63" s="7">
        <v>2025</v>
      </c>
      <c r="G63" s="2" t="s">
        <v>28</v>
      </c>
      <c r="H63" t="s">
        <v>53</v>
      </c>
      <c r="I63" t="s">
        <v>57</v>
      </c>
    </row>
    <row r="64" spans="1:9" x14ac:dyDescent="0.25">
      <c r="A64" s="7" t="s">
        <v>20</v>
      </c>
      <c r="B64" s="7">
        <v>128</v>
      </c>
      <c r="C64" s="7" t="s">
        <v>31</v>
      </c>
      <c r="D64" s="7">
        <v>2025</v>
      </c>
      <c r="G64" s="2" t="s">
        <v>29</v>
      </c>
      <c r="H64">
        <f>GETPIVOTDATA("Quantidade de Agendamentos",$G$20,"Mês","JANEIRO")</f>
        <v>5397</v>
      </c>
      <c r="I64" s="6">
        <f>Tabela5[[#This Row],[Quantidade]]/GETPIVOTDATA("Titulo",$K$1)</f>
        <v>0.14313751491844584</v>
      </c>
    </row>
    <row r="65" spans="1:9" x14ac:dyDescent="0.25">
      <c r="A65" s="7" t="s">
        <v>19</v>
      </c>
      <c r="B65" s="7">
        <v>109</v>
      </c>
      <c r="C65" s="7" t="s">
        <v>31</v>
      </c>
      <c r="D65" s="7">
        <v>2025</v>
      </c>
      <c r="G65" s="2" t="s">
        <v>30</v>
      </c>
      <c r="H65">
        <f>GETPIVOTDATA("Quantidade de Agendamentos",$G$20,"Mês","FEVEREIRO")</f>
        <v>4043</v>
      </c>
      <c r="I65" s="6">
        <f>Tabela5[[#This Row],[Quantidade]]/GETPIVOTDATA("Titulo",$K$1)</f>
        <v>0.10722715820183</v>
      </c>
    </row>
    <row r="66" spans="1:9" x14ac:dyDescent="0.25">
      <c r="A66" s="7" t="s">
        <v>12</v>
      </c>
      <c r="B66" s="7">
        <v>95</v>
      </c>
      <c r="C66" s="7" t="s">
        <v>31</v>
      </c>
      <c r="D66" s="7">
        <v>2025</v>
      </c>
      <c r="G66" s="2" t="s">
        <v>31</v>
      </c>
      <c r="H66">
        <f>GETPIVOTDATA("Quantidade de Agendamentos",$G$20,"Mês","MARÇO")</f>
        <v>6070</v>
      </c>
      <c r="I66" s="6">
        <f>Tabela5[[#This Row],[Quantidade]]/GETPIVOTDATA("Titulo",$K$1)</f>
        <v>0.16098660655085534</v>
      </c>
    </row>
    <row r="67" spans="1:9" x14ac:dyDescent="0.25">
      <c r="A67" s="7" t="s">
        <v>18</v>
      </c>
      <c r="B67" s="7">
        <v>89</v>
      </c>
      <c r="C67" s="7" t="s">
        <v>31</v>
      </c>
      <c r="D67" s="7">
        <v>2025</v>
      </c>
      <c r="G67" s="2" t="s">
        <v>32</v>
      </c>
      <c r="H67">
        <f>GETPIVOTDATA("Quantidade de Agendamentos",$G$20,"Mês","ABRIL")</f>
        <v>4804</v>
      </c>
      <c r="I67" s="6">
        <f>Tabela5[[#This Row],[Quantidade]]/GETPIVOTDATA("Titulo",$K$1)</f>
        <v>0.12741015780400478</v>
      </c>
    </row>
    <row r="68" spans="1:9" x14ac:dyDescent="0.25">
      <c r="A68" s="7" t="s">
        <v>11</v>
      </c>
      <c r="B68" s="7">
        <v>82</v>
      </c>
      <c r="C68" s="7" t="s">
        <v>31</v>
      </c>
      <c r="D68" s="7">
        <v>2025</v>
      </c>
      <c r="G68" s="2" t="s">
        <v>33</v>
      </c>
      <c r="H68">
        <f>GETPIVOTDATA("Titulo",$G$20,"Mês","MAIO")</f>
        <v>4795</v>
      </c>
      <c r="I68" s="6">
        <f>Tabela5[[#This Row],[Quantidade]]/GETPIVOTDATA("Titulo",$K$1)</f>
        <v>0.12717146267073332</v>
      </c>
    </row>
    <row r="69" spans="1:9" x14ac:dyDescent="0.25">
      <c r="A69" s="7" t="s">
        <v>17</v>
      </c>
      <c r="B69" s="7">
        <v>82</v>
      </c>
      <c r="C69" s="7" t="s">
        <v>31</v>
      </c>
      <c r="D69" s="7">
        <v>2025</v>
      </c>
      <c r="G69" s="2" t="s">
        <v>34</v>
      </c>
      <c r="H69">
        <f>GETPIVOTDATA("Titulo",$G$20,"Mês","JUNHO")</f>
        <v>5383</v>
      </c>
      <c r="I69" s="6">
        <f>Tabela5[[#This Row],[Quantidade]]/GETPIVOTDATA("Titulo",$K$1)</f>
        <v>0.14276621137780135</v>
      </c>
    </row>
    <row r="70" spans="1:9" x14ac:dyDescent="0.25">
      <c r="A70" s="7" t="s">
        <v>14</v>
      </c>
      <c r="B70" s="7">
        <v>74</v>
      </c>
      <c r="C70" s="7" t="s">
        <v>31</v>
      </c>
      <c r="D70" s="7">
        <v>2025</v>
      </c>
      <c r="G70" s="2" t="s">
        <v>35</v>
      </c>
      <c r="H70">
        <f>GETPIVOTDATA("Titulo",$G$20,"Mês","JULHO")</f>
        <v>7213</v>
      </c>
      <c r="I70" s="6">
        <f>Tabela5[[#This Row],[Quantidade]]/GETPIVOTDATA("Titulo",$K$1)</f>
        <v>0.19130088847632939</v>
      </c>
    </row>
    <row r="71" spans="1:9" x14ac:dyDescent="0.25">
      <c r="A71" s="7" t="s">
        <v>13</v>
      </c>
      <c r="B71" s="7">
        <v>72</v>
      </c>
      <c r="C71" s="7" t="s">
        <v>31</v>
      </c>
      <c r="D71" s="7">
        <v>2025</v>
      </c>
      <c r="G71" s="2" t="s">
        <v>36</v>
      </c>
      <c r="H71" t="e">
        <f>GETPIVOTDATA("Titulo",$G$20,"Mês","AGOSTO")</f>
        <v>#REF!</v>
      </c>
      <c r="I71" s="6" t="e">
        <f>Tabela5[[#This Row],[Quantidade]]/GETPIVOTDATA("Titulo",$K$1)</f>
        <v>#REF!</v>
      </c>
    </row>
    <row r="72" spans="1:9" x14ac:dyDescent="0.25">
      <c r="A72" s="7" t="s">
        <v>43</v>
      </c>
      <c r="B72" s="7">
        <v>42</v>
      </c>
      <c r="C72" s="7" t="s">
        <v>31</v>
      </c>
      <c r="D72" s="7">
        <v>2025</v>
      </c>
      <c r="G72" s="2" t="s">
        <v>37</v>
      </c>
      <c r="H72" t="e">
        <f>GETPIVOTDATA("Titulo",$G$20,"Mês","SETEMBRO")</f>
        <v>#REF!</v>
      </c>
      <c r="I72" s="6" t="e">
        <f>Tabela5[[#This Row],[Quantidade]]/GETPIVOTDATA("Titulo",$K$1)</f>
        <v>#REF!</v>
      </c>
    </row>
    <row r="73" spans="1:9" x14ac:dyDescent="0.25">
      <c r="A73" s="7" t="s">
        <v>44</v>
      </c>
      <c r="B73" s="7">
        <v>26</v>
      </c>
      <c r="C73" s="7" t="s">
        <v>31</v>
      </c>
      <c r="D73" s="7">
        <v>2025</v>
      </c>
      <c r="G73" s="2" t="s">
        <v>38</v>
      </c>
      <c r="H73" t="e">
        <f>GETPIVOTDATA("Quantidade de Agendamentos",$G$20,"Mês","OUTUBRO")</f>
        <v>#REF!</v>
      </c>
      <c r="I73" s="6" t="e">
        <f>Tabela5[[#This Row],[Quantidade]]/GETPIVOTDATA("Titulo",$K$1)</f>
        <v>#REF!</v>
      </c>
    </row>
    <row r="74" spans="1:9" x14ac:dyDescent="0.25">
      <c r="A74" s="7" t="s">
        <v>22</v>
      </c>
      <c r="B74" s="7">
        <v>18</v>
      </c>
      <c r="C74" s="7" t="s">
        <v>31</v>
      </c>
      <c r="D74" s="7">
        <v>2025</v>
      </c>
      <c r="G74" s="2" t="s">
        <v>39</v>
      </c>
      <c r="H74" t="e">
        <f>GETPIVOTDATA("Quantidade de Agendamentos",$G$20,"Mês","NOVEMBRO")</f>
        <v>#REF!</v>
      </c>
      <c r="I74" s="6" t="e">
        <f>Tabela5[[#This Row],[Quantidade]]/GETPIVOTDATA("Titulo",$K$1)</f>
        <v>#REF!</v>
      </c>
    </row>
    <row r="75" spans="1:9" x14ac:dyDescent="0.25">
      <c r="A75" s="7" t="s">
        <v>16</v>
      </c>
      <c r="B75" s="7">
        <v>18</v>
      </c>
      <c r="C75" s="7" t="s">
        <v>31</v>
      </c>
      <c r="D75" s="7">
        <v>2025</v>
      </c>
      <c r="G75" s="2" t="s">
        <v>40</v>
      </c>
      <c r="H75" t="e">
        <f>GETPIVOTDATA("Quantidade de Agendamentos",$G$20,"Mês","DEZEMBRO")</f>
        <v>#REF!</v>
      </c>
      <c r="I75" s="6" t="e">
        <f>Tabela5[[#This Row],[Quantidade]]/GETPIVOTDATA("Titulo",$K$1)</f>
        <v>#REF!</v>
      </c>
    </row>
    <row r="76" spans="1:9" x14ac:dyDescent="0.25">
      <c r="A76" s="7" t="s">
        <v>24</v>
      </c>
      <c r="B76" s="7">
        <v>10</v>
      </c>
      <c r="C76" s="7" t="s">
        <v>31</v>
      </c>
      <c r="D76" s="7">
        <v>2025</v>
      </c>
    </row>
    <row r="77" spans="1:9" x14ac:dyDescent="0.25">
      <c r="A77" s="7" t="s">
        <v>21</v>
      </c>
      <c r="B77" s="7">
        <v>2</v>
      </c>
      <c r="C77" s="7" t="s">
        <v>31</v>
      </c>
      <c r="D77" s="7">
        <v>2025</v>
      </c>
    </row>
    <row r="78" spans="1:9" x14ac:dyDescent="0.25">
      <c r="A78" s="7" t="s">
        <v>42</v>
      </c>
      <c r="B78" s="7">
        <v>2</v>
      </c>
      <c r="C78" s="7" t="s">
        <v>31</v>
      </c>
      <c r="D78" s="7">
        <v>2025</v>
      </c>
    </row>
    <row r="79" spans="1:9" x14ac:dyDescent="0.25">
      <c r="A79" s="7" t="s">
        <v>15</v>
      </c>
      <c r="B79" s="7">
        <v>2</v>
      </c>
      <c r="C79" s="7" t="s">
        <v>31</v>
      </c>
      <c r="D79" s="7">
        <v>2025</v>
      </c>
    </row>
    <row r="80" spans="1:9" x14ac:dyDescent="0.25">
      <c r="A80" s="7" t="s">
        <v>45</v>
      </c>
      <c r="B80" s="7">
        <v>1</v>
      </c>
      <c r="C80" s="7" t="s">
        <v>31</v>
      </c>
      <c r="D80" s="7">
        <v>2025</v>
      </c>
    </row>
    <row r="81" spans="1:4" x14ac:dyDescent="0.25">
      <c r="A81" s="7" t="s">
        <v>26</v>
      </c>
      <c r="B81" s="7">
        <v>1</v>
      </c>
      <c r="C81" s="7" t="s">
        <v>31</v>
      </c>
      <c r="D81" s="7">
        <v>2025</v>
      </c>
    </row>
    <row r="82" spans="1:4" x14ac:dyDescent="0.25">
      <c r="A82" s="7" t="s">
        <v>27</v>
      </c>
      <c r="B82" s="7">
        <v>1</v>
      </c>
      <c r="C82" s="7" t="s">
        <v>31</v>
      </c>
      <c r="D82" s="7">
        <v>2025</v>
      </c>
    </row>
    <row r="83" spans="1:4" x14ac:dyDescent="0.25">
      <c r="A83" s="7" t="s">
        <v>3</v>
      </c>
      <c r="B83" s="7">
        <v>793</v>
      </c>
      <c r="C83" s="7" t="s">
        <v>32</v>
      </c>
      <c r="D83" s="7">
        <v>2025</v>
      </c>
    </row>
    <row r="84" spans="1:4" x14ac:dyDescent="0.25">
      <c r="A84" s="7" t="s">
        <v>2</v>
      </c>
      <c r="B84" s="7">
        <v>708</v>
      </c>
      <c r="C84" s="7" t="s">
        <v>32</v>
      </c>
      <c r="D84" s="7">
        <v>2025</v>
      </c>
    </row>
    <row r="85" spans="1:4" x14ac:dyDescent="0.25">
      <c r="A85" s="7" t="s">
        <v>5</v>
      </c>
      <c r="B85" s="7">
        <v>544</v>
      </c>
      <c r="C85" s="7" t="s">
        <v>32</v>
      </c>
      <c r="D85" s="7">
        <v>2025</v>
      </c>
    </row>
    <row r="86" spans="1:4" x14ac:dyDescent="0.25">
      <c r="A86" s="7" t="s">
        <v>4</v>
      </c>
      <c r="B86" s="7">
        <v>504</v>
      </c>
      <c r="C86" s="7" t="s">
        <v>32</v>
      </c>
      <c r="D86" s="7">
        <v>2025</v>
      </c>
    </row>
    <row r="87" spans="1:4" x14ac:dyDescent="0.25">
      <c r="A87" s="7" t="s">
        <v>6</v>
      </c>
      <c r="B87" s="7">
        <v>471</v>
      </c>
      <c r="C87" s="7" t="s">
        <v>32</v>
      </c>
      <c r="D87" s="7">
        <v>2025</v>
      </c>
    </row>
    <row r="88" spans="1:4" x14ac:dyDescent="0.25">
      <c r="A88" s="7" t="s">
        <v>10</v>
      </c>
      <c r="B88" s="7">
        <v>211</v>
      </c>
      <c r="C88" s="7" t="s">
        <v>32</v>
      </c>
      <c r="D88" s="7">
        <v>2025</v>
      </c>
    </row>
    <row r="89" spans="1:4" x14ac:dyDescent="0.25">
      <c r="A89" s="7" t="s">
        <v>7</v>
      </c>
      <c r="B89" s="7">
        <v>208</v>
      </c>
      <c r="C89" s="7" t="s">
        <v>32</v>
      </c>
      <c r="D89" s="7">
        <v>2025</v>
      </c>
    </row>
    <row r="90" spans="1:4" x14ac:dyDescent="0.25">
      <c r="A90" s="7" t="s">
        <v>9</v>
      </c>
      <c r="B90" s="7">
        <v>179</v>
      </c>
      <c r="C90" s="7" t="s">
        <v>32</v>
      </c>
      <c r="D90" s="7">
        <v>2025</v>
      </c>
    </row>
    <row r="91" spans="1:4" x14ac:dyDescent="0.25">
      <c r="A91" s="7" t="s">
        <v>8</v>
      </c>
      <c r="B91" s="7">
        <v>167</v>
      </c>
      <c r="C91" s="7" t="s">
        <v>32</v>
      </c>
      <c r="D91" s="7">
        <v>2025</v>
      </c>
    </row>
    <row r="92" spans="1:4" x14ac:dyDescent="0.25">
      <c r="A92" s="7" t="s">
        <v>12</v>
      </c>
      <c r="B92" s="7">
        <v>158</v>
      </c>
      <c r="C92" s="7" t="s">
        <v>32</v>
      </c>
      <c r="D92" s="7">
        <v>2025</v>
      </c>
    </row>
    <row r="93" spans="1:4" x14ac:dyDescent="0.25">
      <c r="A93" s="7" t="s">
        <v>18</v>
      </c>
      <c r="B93" s="7">
        <v>136</v>
      </c>
      <c r="C93" s="7" t="s">
        <v>32</v>
      </c>
      <c r="D93" s="7">
        <v>2025</v>
      </c>
    </row>
    <row r="94" spans="1:4" x14ac:dyDescent="0.25">
      <c r="A94" s="7" t="s">
        <v>43</v>
      </c>
      <c r="B94" s="7">
        <v>134</v>
      </c>
      <c r="C94" s="7" t="s">
        <v>32</v>
      </c>
      <c r="D94" s="7">
        <v>2025</v>
      </c>
    </row>
    <row r="95" spans="1:4" x14ac:dyDescent="0.25">
      <c r="A95" s="7" t="s">
        <v>17</v>
      </c>
      <c r="B95" s="7">
        <v>131</v>
      </c>
      <c r="C95" s="7" t="s">
        <v>32</v>
      </c>
      <c r="D95" s="7">
        <v>2025</v>
      </c>
    </row>
    <row r="96" spans="1:4" x14ac:dyDescent="0.25">
      <c r="A96" s="7" t="s">
        <v>19</v>
      </c>
      <c r="B96" s="7">
        <v>119</v>
      </c>
      <c r="C96" s="7" t="s">
        <v>32</v>
      </c>
      <c r="D96" s="7">
        <v>2025</v>
      </c>
    </row>
    <row r="97" spans="1:4" x14ac:dyDescent="0.25">
      <c r="A97" s="7" t="s">
        <v>16</v>
      </c>
      <c r="B97" s="7">
        <v>101</v>
      </c>
      <c r="C97" s="7" t="s">
        <v>32</v>
      </c>
      <c r="D97" s="7">
        <v>2025</v>
      </c>
    </row>
    <row r="98" spans="1:4" x14ac:dyDescent="0.25">
      <c r="A98" s="7" t="s">
        <v>13</v>
      </c>
      <c r="B98" s="7">
        <v>97</v>
      </c>
      <c r="C98" s="7" t="s">
        <v>32</v>
      </c>
      <c r="D98" s="7">
        <v>2025</v>
      </c>
    </row>
    <row r="99" spans="1:4" x14ac:dyDescent="0.25">
      <c r="A99" s="7" t="s">
        <v>44</v>
      </c>
      <c r="B99" s="7">
        <v>64</v>
      </c>
      <c r="C99" s="7" t="s">
        <v>32</v>
      </c>
      <c r="D99" s="7">
        <v>2025</v>
      </c>
    </row>
    <row r="100" spans="1:4" x14ac:dyDescent="0.25">
      <c r="A100" s="7" t="s">
        <v>14</v>
      </c>
      <c r="B100" s="7">
        <v>55</v>
      </c>
      <c r="C100" s="7" t="s">
        <v>32</v>
      </c>
      <c r="D100" s="7">
        <v>2025</v>
      </c>
    </row>
    <row r="101" spans="1:4" x14ac:dyDescent="0.25">
      <c r="A101" s="7" t="s">
        <v>22</v>
      </c>
      <c r="B101" s="7">
        <v>22</v>
      </c>
      <c r="C101" s="7" t="s">
        <v>32</v>
      </c>
      <c r="D101" s="7">
        <v>2025</v>
      </c>
    </row>
    <row r="102" spans="1:4" x14ac:dyDescent="0.25">
      <c r="A102" s="7" t="s">
        <v>46</v>
      </c>
      <c r="B102" s="7">
        <v>12</v>
      </c>
      <c r="C102" s="7" t="s">
        <v>32</v>
      </c>
      <c r="D102" s="7">
        <v>2025</v>
      </c>
    </row>
    <row r="103" spans="1:4" x14ac:dyDescent="0.25">
      <c r="A103" s="7" t="s">
        <v>25</v>
      </c>
      <c r="B103" s="7">
        <v>11</v>
      </c>
      <c r="C103" s="7" t="s">
        <v>32</v>
      </c>
      <c r="D103" s="7">
        <v>2025</v>
      </c>
    </row>
    <row r="104" spans="1:4" x14ac:dyDescent="0.25">
      <c r="A104" s="7" t="s">
        <v>23</v>
      </c>
      <c r="B104" s="7">
        <v>7</v>
      </c>
      <c r="C104" s="7" t="s">
        <v>32</v>
      </c>
      <c r="D104" s="7">
        <v>2025</v>
      </c>
    </row>
    <row r="105" spans="1:4" x14ac:dyDescent="0.25">
      <c r="A105" s="7" t="s">
        <v>47</v>
      </c>
      <c r="B105" s="7">
        <v>4</v>
      </c>
      <c r="C105" s="7" t="s">
        <v>32</v>
      </c>
      <c r="D105" s="7">
        <v>2025</v>
      </c>
    </row>
    <row r="106" spans="1:4" x14ac:dyDescent="0.25">
      <c r="A106" s="7" t="s">
        <v>27</v>
      </c>
      <c r="B106" s="7">
        <v>4</v>
      </c>
      <c r="C106" s="7" t="s">
        <v>32</v>
      </c>
      <c r="D106" s="7">
        <v>2025</v>
      </c>
    </row>
    <row r="107" spans="1:4" x14ac:dyDescent="0.25">
      <c r="A107" s="7" t="s">
        <v>21</v>
      </c>
      <c r="B107" s="7">
        <v>3</v>
      </c>
      <c r="C107" s="7" t="s">
        <v>32</v>
      </c>
      <c r="D107" s="7">
        <v>2025</v>
      </c>
    </row>
    <row r="108" spans="1:4" x14ac:dyDescent="0.25">
      <c r="A108" s="7" t="s">
        <v>15</v>
      </c>
      <c r="B108" s="7">
        <v>2</v>
      </c>
      <c r="C108" s="7" t="s">
        <v>32</v>
      </c>
      <c r="D108" s="7">
        <v>2025</v>
      </c>
    </row>
    <row r="109" spans="1:4" x14ac:dyDescent="0.25">
      <c r="A109" s="7" t="s">
        <v>48</v>
      </c>
      <c r="B109" s="7">
        <v>2</v>
      </c>
      <c r="C109" s="7" t="s">
        <v>32</v>
      </c>
      <c r="D109" s="7">
        <v>2025</v>
      </c>
    </row>
    <row r="110" spans="1:4" x14ac:dyDescent="0.25">
      <c r="A110" s="7" t="s">
        <v>3</v>
      </c>
      <c r="B110" s="7">
        <v>1123</v>
      </c>
      <c r="C110" s="7" t="s">
        <v>33</v>
      </c>
      <c r="D110" s="7">
        <v>2025</v>
      </c>
    </row>
    <row r="111" spans="1:4" x14ac:dyDescent="0.25">
      <c r="A111" s="7" t="s">
        <v>2</v>
      </c>
      <c r="B111" s="7">
        <v>676</v>
      </c>
      <c r="C111" s="7" t="s">
        <v>33</v>
      </c>
      <c r="D111" s="7">
        <v>2025</v>
      </c>
    </row>
    <row r="112" spans="1:4" x14ac:dyDescent="0.25">
      <c r="A112" s="7" t="s">
        <v>5</v>
      </c>
      <c r="B112" s="7">
        <v>506</v>
      </c>
      <c r="C112" s="7" t="s">
        <v>33</v>
      </c>
      <c r="D112" s="7">
        <v>2025</v>
      </c>
    </row>
    <row r="113" spans="1:4" x14ac:dyDescent="0.25">
      <c r="A113" s="7" t="s">
        <v>4</v>
      </c>
      <c r="B113" s="7">
        <v>475</v>
      </c>
      <c r="C113" s="7" t="s">
        <v>33</v>
      </c>
      <c r="D113" s="7">
        <v>2025</v>
      </c>
    </row>
    <row r="114" spans="1:4" x14ac:dyDescent="0.25">
      <c r="A114" s="7" t="s">
        <v>6</v>
      </c>
      <c r="B114" s="7">
        <v>425</v>
      </c>
      <c r="C114" s="7" t="s">
        <v>33</v>
      </c>
      <c r="D114" s="7">
        <v>2025</v>
      </c>
    </row>
    <row r="115" spans="1:4" x14ac:dyDescent="0.25">
      <c r="A115" s="7" t="s">
        <v>54</v>
      </c>
      <c r="B115" s="7">
        <v>355</v>
      </c>
      <c r="C115" s="7" t="s">
        <v>33</v>
      </c>
      <c r="D115" s="7">
        <v>2025</v>
      </c>
    </row>
    <row r="116" spans="1:4" x14ac:dyDescent="0.25">
      <c r="A116" s="7" t="s">
        <v>7</v>
      </c>
      <c r="B116" s="7">
        <v>277</v>
      </c>
      <c r="C116" s="7" t="s">
        <v>33</v>
      </c>
      <c r="D116" s="7">
        <v>2025</v>
      </c>
    </row>
    <row r="117" spans="1:4" x14ac:dyDescent="0.25">
      <c r="A117" s="7" t="s">
        <v>10</v>
      </c>
      <c r="B117" s="7">
        <v>270</v>
      </c>
      <c r="C117" s="7" t="s">
        <v>33</v>
      </c>
      <c r="D117" s="7">
        <v>2025</v>
      </c>
    </row>
    <row r="118" spans="1:4" x14ac:dyDescent="0.25">
      <c r="A118" s="7" t="s">
        <v>8</v>
      </c>
      <c r="B118" s="7">
        <v>211</v>
      </c>
      <c r="C118" s="7" t="s">
        <v>33</v>
      </c>
      <c r="D118" s="7">
        <v>2025</v>
      </c>
    </row>
    <row r="119" spans="1:4" x14ac:dyDescent="0.25">
      <c r="A119" s="7" t="s">
        <v>9</v>
      </c>
      <c r="B119" s="7">
        <v>177</v>
      </c>
      <c r="C119" s="7" t="s">
        <v>33</v>
      </c>
      <c r="D119" s="7">
        <v>2025</v>
      </c>
    </row>
    <row r="120" spans="1:4" x14ac:dyDescent="0.25">
      <c r="A120" s="7" t="s">
        <v>47</v>
      </c>
      <c r="B120" s="7">
        <v>139</v>
      </c>
      <c r="C120" s="7" t="s">
        <v>33</v>
      </c>
      <c r="D120" s="7">
        <v>2025</v>
      </c>
    </row>
    <row r="121" spans="1:4" x14ac:dyDescent="0.25">
      <c r="A121" s="7" t="s">
        <v>17</v>
      </c>
      <c r="B121" s="7">
        <v>138</v>
      </c>
      <c r="C121" s="7" t="s">
        <v>33</v>
      </c>
      <c r="D121" s="7">
        <v>2025</v>
      </c>
    </row>
    <row r="122" spans="1:4" x14ac:dyDescent="0.25">
      <c r="A122" s="7" t="s">
        <v>18</v>
      </c>
      <c r="B122" s="7">
        <v>116</v>
      </c>
      <c r="C122" s="7" t="s">
        <v>33</v>
      </c>
      <c r="D122" s="7">
        <v>2025</v>
      </c>
    </row>
    <row r="123" spans="1:4" x14ac:dyDescent="0.25">
      <c r="A123" s="7" t="s">
        <v>14</v>
      </c>
      <c r="B123" s="7">
        <v>116</v>
      </c>
      <c r="C123" s="7" t="s">
        <v>33</v>
      </c>
      <c r="D123" s="7">
        <v>2025</v>
      </c>
    </row>
    <row r="124" spans="1:4" x14ac:dyDescent="0.25">
      <c r="A124" s="7" t="s">
        <v>44</v>
      </c>
      <c r="B124" s="7">
        <v>104</v>
      </c>
      <c r="C124" s="7" t="s">
        <v>33</v>
      </c>
      <c r="D124" s="7">
        <v>2025</v>
      </c>
    </row>
    <row r="125" spans="1:4" x14ac:dyDescent="0.25">
      <c r="A125" s="7" t="s">
        <v>16</v>
      </c>
      <c r="B125" s="7">
        <v>103</v>
      </c>
      <c r="C125" s="7" t="s">
        <v>33</v>
      </c>
      <c r="D125" s="7">
        <v>2025</v>
      </c>
    </row>
    <row r="126" spans="1:4" x14ac:dyDescent="0.25">
      <c r="A126" s="7" t="s">
        <v>43</v>
      </c>
      <c r="B126" s="7">
        <v>102</v>
      </c>
      <c r="C126" s="7" t="s">
        <v>33</v>
      </c>
      <c r="D126" s="7">
        <v>2025</v>
      </c>
    </row>
    <row r="127" spans="1:4" x14ac:dyDescent="0.25">
      <c r="A127" s="7" t="s">
        <v>12</v>
      </c>
      <c r="B127" s="7">
        <v>54</v>
      </c>
      <c r="C127" s="7" t="s">
        <v>33</v>
      </c>
      <c r="D127" s="7">
        <v>2025</v>
      </c>
    </row>
    <row r="128" spans="1:4" x14ac:dyDescent="0.25">
      <c r="A128" s="7" t="s">
        <v>55</v>
      </c>
      <c r="B128" s="7">
        <v>49</v>
      </c>
      <c r="C128" s="7" t="s">
        <v>33</v>
      </c>
      <c r="D128" s="7">
        <v>2025</v>
      </c>
    </row>
    <row r="129" spans="1:4" x14ac:dyDescent="0.25">
      <c r="A129" s="7" t="s">
        <v>13</v>
      </c>
      <c r="B129" s="7">
        <v>36</v>
      </c>
      <c r="C129" s="7" t="s">
        <v>33</v>
      </c>
      <c r="D129" s="7">
        <v>2025</v>
      </c>
    </row>
    <row r="130" spans="1:4" x14ac:dyDescent="0.25">
      <c r="A130" s="7" t="s">
        <v>22</v>
      </c>
      <c r="B130" s="7">
        <v>24</v>
      </c>
      <c r="C130" s="7" t="s">
        <v>33</v>
      </c>
      <c r="D130" s="7">
        <v>2025</v>
      </c>
    </row>
    <row r="131" spans="1:4" x14ac:dyDescent="0.25">
      <c r="A131" s="7" t="s">
        <v>56</v>
      </c>
      <c r="B131" s="7">
        <v>22</v>
      </c>
      <c r="C131" s="7" t="s">
        <v>33</v>
      </c>
      <c r="D131" s="7">
        <v>2025</v>
      </c>
    </row>
    <row r="132" spans="1:4" x14ac:dyDescent="0.25">
      <c r="A132" s="7" t="s">
        <v>15</v>
      </c>
      <c r="B132" s="7">
        <v>8</v>
      </c>
      <c r="C132" s="7" t="s">
        <v>33</v>
      </c>
      <c r="D132" s="7">
        <v>2025</v>
      </c>
    </row>
    <row r="133" spans="1:4" x14ac:dyDescent="0.25">
      <c r="A133" s="7" t="s">
        <v>42</v>
      </c>
      <c r="B133" s="7">
        <v>4</v>
      </c>
      <c r="C133" s="7" t="s">
        <v>33</v>
      </c>
      <c r="D133" s="7">
        <v>2025</v>
      </c>
    </row>
    <row r="134" spans="1:4" x14ac:dyDescent="0.25">
      <c r="A134" s="7" t="s">
        <v>25</v>
      </c>
      <c r="B134" s="7">
        <v>4</v>
      </c>
      <c r="C134" s="7" t="s">
        <v>33</v>
      </c>
      <c r="D134" s="7">
        <v>2025</v>
      </c>
    </row>
    <row r="135" spans="1:4" x14ac:dyDescent="0.25">
      <c r="A135" s="7" t="s">
        <v>24</v>
      </c>
      <c r="B135" s="7">
        <v>2</v>
      </c>
      <c r="C135" s="7" t="s">
        <v>33</v>
      </c>
      <c r="D135" s="7">
        <v>2025</v>
      </c>
    </row>
    <row r="136" spans="1:4" x14ac:dyDescent="0.25">
      <c r="A136" s="7" t="s">
        <v>48</v>
      </c>
      <c r="B136" s="7">
        <v>1</v>
      </c>
      <c r="C136" s="7" t="s">
        <v>33</v>
      </c>
      <c r="D136" s="7">
        <v>2025</v>
      </c>
    </row>
    <row r="137" spans="1:4" x14ac:dyDescent="0.25">
      <c r="A137" s="7" t="s">
        <v>21</v>
      </c>
      <c r="B137" s="7">
        <v>1</v>
      </c>
      <c r="C137" s="7" t="s">
        <v>33</v>
      </c>
      <c r="D137" s="7">
        <v>2025</v>
      </c>
    </row>
    <row r="138" spans="1:4" x14ac:dyDescent="0.25">
      <c r="A138" s="7" t="s">
        <v>23</v>
      </c>
      <c r="B138" s="7">
        <v>1</v>
      </c>
      <c r="C138" s="7" t="s">
        <v>33</v>
      </c>
      <c r="D138" s="7">
        <v>2025</v>
      </c>
    </row>
    <row r="139" spans="1:4" x14ac:dyDescent="0.25">
      <c r="A139" s="7" t="s">
        <v>3</v>
      </c>
      <c r="B139" s="7">
        <v>1155</v>
      </c>
      <c r="C139" s="7" t="s">
        <v>34</v>
      </c>
      <c r="D139" s="7">
        <v>2025</v>
      </c>
    </row>
    <row r="140" spans="1:4" x14ac:dyDescent="0.25">
      <c r="A140" s="7" t="s">
        <v>6</v>
      </c>
      <c r="B140" s="7">
        <v>486</v>
      </c>
      <c r="C140" s="7" t="s">
        <v>34</v>
      </c>
      <c r="D140" s="7">
        <v>2025</v>
      </c>
    </row>
    <row r="141" spans="1:4" x14ac:dyDescent="0.25">
      <c r="A141" s="7" t="s">
        <v>5</v>
      </c>
      <c r="B141" s="7">
        <v>437</v>
      </c>
      <c r="C141" s="7" t="s">
        <v>34</v>
      </c>
      <c r="D141" s="7">
        <v>2025</v>
      </c>
    </row>
    <row r="142" spans="1:4" x14ac:dyDescent="0.25">
      <c r="A142" s="7" t="s">
        <v>4</v>
      </c>
      <c r="B142" s="7">
        <v>435</v>
      </c>
      <c r="C142" s="7" t="s">
        <v>34</v>
      </c>
      <c r="D142" s="7">
        <v>2025</v>
      </c>
    </row>
    <row r="143" spans="1:4" x14ac:dyDescent="0.25">
      <c r="A143" s="7" t="s">
        <v>54</v>
      </c>
      <c r="B143" s="7">
        <v>396</v>
      </c>
      <c r="C143" s="7" t="s">
        <v>34</v>
      </c>
      <c r="D143" s="7">
        <v>2025</v>
      </c>
    </row>
    <row r="144" spans="1:4" x14ac:dyDescent="0.25">
      <c r="A144" s="7" t="s">
        <v>7</v>
      </c>
      <c r="B144" s="7">
        <v>239</v>
      </c>
      <c r="C144" s="7" t="s">
        <v>34</v>
      </c>
      <c r="D144" s="7">
        <v>2025</v>
      </c>
    </row>
    <row r="145" spans="1:4" x14ac:dyDescent="0.25">
      <c r="A145" s="7" t="s">
        <v>10</v>
      </c>
      <c r="B145" s="7">
        <v>199</v>
      </c>
      <c r="C145" s="7" t="s">
        <v>34</v>
      </c>
      <c r="D145" s="7">
        <v>2025</v>
      </c>
    </row>
    <row r="146" spans="1:4" x14ac:dyDescent="0.25">
      <c r="A146" s="7" t="s">
        <v>16</v>
      </c>
      <c r="B146" s="7">
        <v>178</v>
      </c>
      <c r="C146" s="7" t="s">
        <v>34</v>
      </c>
      <c r="D146" s="7">
        <v>2025</v>
      </c>
    </row>
    <row r="147" spans="1:4" x14ac:dyDescent="0.25">
      <c r="A147" s="7" t="s">
        <v>17</v>
      </c>
      <c r="B147" s="7">
        <v>155</v>
      </c>
      <c r="C147" s="7" t="s">
        <v>34</v>
      </c>
      <c r="D147" s="7">
        <v>2025</v>
      </c>
    </row>
    <row r="148" spans="1:4" x14ac:dyDescent="0.25">
      <c r="A148" s="7" t="s">
        <v>56</v>
      </c>
      <c r="B148" s="7">
        <v>155</v>
      </c>
      <c r="C148" s="7" t="s">
        <v>34</v>
      </c>
      <c r="D148" s="7">
        <v>2025</v>
      </c>
    </row>
    <row r="149" spans="1:4" x14ac:dyDescent="0.25">
      <c r="A149" s="7" t="s">
        <v>43</v>
      </c>
      <c r="B149" s="7">
        <v>149</v>
      </c>
      <c r="C149" s="7" t="s">
        <v>34</v>
      </c>
      <c r="D149" s="7">
        <v>2025</v>
      </c>
    </row>
    <row r="150" spans="1:4" x14ac:dyDescent="0.25">
      <c r="A150" s="7" t="s">
        <v>13</v>
      </c>
      <c r="B150" s="7">
        <v>138</v>
      </c>
      <c r="C150" s="7" t="s">
        <v>34</v>
      </c>
      <c r="D150" s="7">
        <v>2025</v>
      </c>
    </row>
    <row r="151" spans="1:4" x14ac:dyDescent="0.25">
      <c r="A151" s="7" t="s">
        <v>9</v>
      </c>
      <c r="B151" s="7">
        <v>129</v>
      </c>
      <c r="C151" s="7" t="s">
        <v>34</v>
      </c>
      <c r="D151" s="7">
        <v>2025</v>
      </c>
    </row>
    <row r="152" spans="1:4" x14ac:dyDescent="0.25">
      <c r="A152" s="7" t="s">
        <v>8</v>
      </c>
      <c r="B152" s="7">
        <v>126</v>
      </c>
      <c r="C152" s="7" t="s">
        <v>34</v>
      </c>
      <c r="D152" s="7">
        <v>2025</v>
      </c>
    </row>
    <row r="153" spans="1:4" x14ac:dyDescent="0.25">
      <c r="A153" s="7" t="s">
        <v>18</v>
      </c>
      <c r="B153" s="7">
        <v>121</v>
      </c>
      <c r="C153" s="7" t="s">
        <v>34</v>
      </c>
      <c r="D153" s="7">
        <v>2025</v>
      </c>
    </row>
    <row r="154" spans="1:4" x14ac:dyDescent="0.25">
      <c r="A154" s="7" t="s">
        <v>58</v>
      </c>
      <c r="B154" s="7">
        <v>113</v>
      </c>
      <c r="C154" s="7" t="s">
        <v>34</v>
      </c>
      <c r="D154" s="7">
        <v>2025</v>
      </c>
    </row>
    <row r="155" spans="1:4" x14ac:dyDescent="0.25">
      <c r="A155" s="7" t="s">
        <v>44</v>
      </c>
      <c r="B155" s="7">
        <v>106</v>
      </c>
      <c r="C155" s="7" t="s">
        <v>34</v>
      </c>
      <c r="D155" s="7">
        <v>2025</v>
      </c>
    </row>
    <row r="156" spans="1:4" x14ac:dyDescent="0.25">
      <c r="A156" s="7" t="s">
        <v>47</v>
      </c>
      <c r="B156" s="7">
        <v>101</v>
      </c>
      <c r="C156" s="7" t="s">
        <v>34</v>
      </c>
      <c r="D156" s="7">
        <v>2025</v>
      </c>
    </row>
    <row r="157" spans="1:4" x14ac:dyDescent="0.25">
      <c r="A157" s="7" t="s">
        <v>14</v>
      </c>
      <c r="B157" s="7">
        <v>99</v>
      </c>
      <c r="C157" s="7" t="s">
        <v>34</v>
      </c>
      <c r="D157" s="7">
        <v>2025</v>
      </c>
    </row>
    <row r="158" spans="1:4" x14ac:dyDescent="0.25">
      <c r="A158" s="7" t="s">
        <v>25</v>
      </c>
      <c r="B158" s="7">
        <v>7</v>
      </c>
      <c r="C158" s="7" t="s">
        <v>34</v>
      </c>
      <c r="D158" s="7">
        <v>2025</v>
      </c>
    </row>
    <row r="159" spans="1:4" x14ac:dyDescent="0.25">
      <c r="A159" s="7" t="s">
        <v>41</v>
      </c>
      <c r="B159" s="7">
        <v>5</v>
      </c>
      <c r="C159" s="7" t="s">
        <v>34</v>
      </c>
      <c r="D159" s="7">
        <v>2025</v>
      </c>
    </row>
    <row r="160" spans="1:4" x14ac:dyDescent="0.25">
      <c r="A160" s="7" t="s">
        <v>21</v>
      </c>
      <c r="B160" s="7">
        <v>2</v>
      </c>
      <c r="C160" s="7" t="s">
        <v>34</v>
      </c>
      <c r="D160" s="7">
        <v>2025</v>
      </c>
    </row>
    <row r="161" spans="1:4" x14ac:dyDescent="0.25">
      <c r="A161" s="7" t="s">
        <v>15</v>
      </c>
      <c r="B161" s="7">
        <v>2</v>
      </c>
      <c r="C161" s="7" t="s">
        <v>34</v>
      </c>
      <c r="D161" s="7">
        <v>2025</v>
      </c>
    </row>
    <row r="162" spans="1:4" x14ac:dyDescent="0.25">
      <c r="A162" s="7" t="s">
        <v>42</v>
      </c>
      <c r="B162" s="7">
        <v>1</v>
      </c>
      <c r="C162" s="7" t="s">
        <v>34</v>
      </c>
      <c r="D162" s="7">
        <v>2025</v>
      </c>
    </row>
    <row r="163" spans="1:4" x14ac:dyDescent="0.25">
      <c r="A163" s="7" t="s">
        <v>3</v>
      </c>
      <c r="B163" s="7">
        <v>1361</v>
      </c>
      <c r="C163" s="7" t="s">
        <v>35</v>
      </c>
      <c r="D163" s="7">
        <v>2025</v>
      </c>
    </row>
    <row r="164" spans="1:4" x14ac:dyDescent="0.25">
      <c r="A164" s="7" t="s">
        <v>5</v>
      </c>
      <c r="B164" s="7">
        <v>600</v>
      </c>
      <c r="C164" s="7" t="s">
        <v>35</v>
      </c>
      <c r="D164" s="7">
        <v>2025</v>
      </c>
    </row>
    <row r="165" spans="1:4" x14ac:dyDescent="0.25">
      <c r="A165" s="7" t="s">
        <v>54</v>
      </c>
      <c r="B165" s="7">
        <v>555</v>
      </c>
      <c r="C165" s="7" t="s">
        <v>35</v>
      </c>
      <c r="D165" s="7">
        <v>2025</v>
      </c>
    </row>
    <row r="166" spans="1:4" x14ac:dyDescent="0.25">
      <c r="A166" s="7" t="s">
        <v>4</v>
      </c>
      <c r="B166" s="7">
        <v>553</v>
      </c>
      <c r="C166" s="7" t="s">
        <v>35</v>
      </c>
      <c r="D166" s="7">
        <v>2025</v>
      </c>
    </row>
    <row r="167" spans="1:4" x14ac:dyDescent="0.25">
      <c r="A167" s="7" t="s">
        <v>6</v>
      </c>
      <c r="B167" s="7">
        <v>546</v>
      </c>
      <c r="C167" s="7" t="s">
        <v>35</v>
      </c>
      <c r="D167" s="7">
        <v>2025</v>
      </c>
    </row>
    <row r="168" spans="1:4" x14ac:dyDescent="0.25">
      <c r="A168" s="7" t="s">
        <v>7</v>
      </c>
      <c r="B168" s="7">
        <v>242</v>
      </c>
      <c r="C168" s="7" t="s">
        <v>35</v>
      </c>
      <c r="D168" s="7">
        <v>2025</v>
      </c>
    </row>
    <row r="169" spans="1:4" x14ac:dyDescent="0.25">
      <c r="A169" s="7" t="s">
        <v>16</v>
      </c>
      <c r="B169" s="7">
        <v>222</v>
      </c>
      <c r="C169" s="7" t="s">
        <v>35</v>
      </c>
      <c r="D169" s="7">
        <v>2025</v>
      </c>
    </row>
    <row r="170" spans="1:4" x14ac:dyDescent="0.25">
      <c r="A170" s="7" t="s">
        <v>17</v>
      </c>
      <c r="B170" s="7">
        <v>210</v>
      </c>
      <c r="C170" s="7" t="s">
        <v>35</v>
      </c>
      <c r="D170" s="7">
        <v>2025</v>
      </c>
    </row>
    <row r="171" spans="1:4" x14ac:dyDescent="0.25">
      <c r="A171" s="7" t="s">
        <v>13</v>
      </c>
      <c r="B171" s="7">
        <v>198</v>
      </c>
      <c r="C171" s="7" t="s">
        <v>35</v>
      </c>
      <c r="D171" s="7">
        <v>2025</v>
      </c>
    </row>
    <row r="172" spans="1:4" x14ac:dyDescent="0.25">
      <c r="A172" s="7" t="s">
        <v>9</v>
      </c>
      <c r="B172" s="7">
        <v>190</v>
      </c>
      <c r="C172" s="7" t="s">
        <v>35</v>
      </c>
      <c r="D172" s="7">
        <v>2025</v>
      </c>
    </row>
    <row r="173" spans="1:4" x14ac:dyDescent="0.25">
      <c r="A173" s="7" t="s">
        <v>10</v>
      </c>
      <c r="B173" s="7">
        <v>189</v>
      </c>
      <c r="C173" s="7" t="s">
        <v>35</v>
      </c>
      <c r="D173" s="7">
        <v>2025</v>
      </c>
    </row>
    <row r="174" spans="1:4" x14ac:dyDescent="0.25">
      <c r="A174" s="7" t="s">
        <v>43</v>
      </c>
      <c r="B174" s="7">
        <v>160</v>
      </c>
      <c r="C174" s="7" t="s">
        <v>35</v>
      </c>
      <c r="D174" s="7">
        <v>2025</v>
      </c>
    </row>
    <row r="175" spans="1:4" x14ac:dyDescent="0.25">
      <c r="A175" s="7" t="s">
        <v>47</v>
      </c>
      <c r="B175" s="7">
        <v>149</v>
      </c>
      <c r="C175" s="7" t="s">
        <v>35</v>
      </c>
      <c r="D175" s="7">
        <v>2025</v>
      </c>
    </row>
    <row r="176" spans="1:4" x14ac:dyDescent="0.25">
      <c r="A176" s="7" t="s">
        <v>58</v>
      </c>
      <c r="B176" s="7">
        <v>125</v>
      </c>
      <c r="C176" s="7" t="s">
        <v>35</v>
      </c>
      <c r="D176" s="7">
        <v>2025</v>
      </c>
    </row>
    <row r="177" spans="1:4" x14ac:dyDescent="0.25">
      <c r="A177" s="7" t="s">
        <v>44</v>
      </c>
      <c r="B177" s="7">
        <v>101</v>
      </c>
      <c r="C177" s="7" t="s">
        <v>35</v>
      </c>
      <c r="D177" s="7">
        <v>2025</v>
      </c>
    </row>
    <row r="178" spans="1:4" x14ac:dyDescent="0.25">
      <c r="A178" s="7" t="s">
        <v>18</v>
      </c>
      <c r="B178" s="7">
        <v>100</v>
      </c>
      <c r="C178" s="7" t="s">
        <v>35</v>
      </c>
      <c r="D178" s="7">
        <v>2025</v>
      </c>
    </row>
    <row r="179" spans="1:4" x14ac:dyDescent="0.25">
      <c r="A179" s="7" t="s">
        <v>14</v>
      </c>
      <c r="B179" s="7">
        <v>98</v>
      </c>
      <c r="C179" s="7" t="s">
        <v>35</v>
      </c>
      <c r="D179" s="7">
        <v>2025</v>
      </c>
    </row>
    <row r="180" spans="1:4" x14ac:dyDescent="0.25">
      <c r="A180" s="7" t="s">
        <v>56</v>
      </c>
      <c r="B180" s="7">
        <v>85</v>
      </c>
      <c r="C180" s="7" t="s">
        <v>35</v>
      </c>
      <c r="D180" s="7">
        <v>2025</v>
      </c>
    </row>
    <row r="181" spans="1:4" x14ac:dyDescent="0.25">
      <c r="A181" s="7" t="s">
        <v>8</v>
      </c>
      <c r="B181" s="7">
        <v>9</v>
      </c>
      <c r="C181" s="7" t="s">
        <v>35</v>
      </c>
      <c r="D181" s="7">
        <v>2025</v>
      </c>
    </row>
    <row r="182" spans="1:4" x14ac:dyDescent="0.25">
      <c r="A182" s="7" t="s">
        <v>41</v>
      </c>
      <c r="B182" s="7">
        <v>8</v>
      </c>
      <c r="C182" s="7" t="s">
        <v>35</v>
      </c>
      <c r="D182" s="7">
        <v>2025</v>
      </c>
    </row>
    <row r="183" spans="1:4" x14ac:dyDescent="0.25">
      <c r="A183" s="7" t="s">
        <v>15</v>
      </c>
      <c r="B183" s="7">
        <v>4</v>
      </c>
      <c r="C183" s="7" t="s">
        <v>35</v>
      </c>
      <c r="D183" s="7">
        <v>2025</v>
      </c>
    </row>
    <row r="184" spans="1:4" x14ac:dyDescent="0.25">
      <c r="A184" s="7" t="s">
        <v>21</v>
      </c>
      <c r="B184" s="7">
        <v>3</v>
      </c>
      <c r="C184" s="7" t="s">
        <v>35</v>
      </c>
      <c r="D184" s="7">
        <v>2025</v>
      </c>
    </row>
    <row r="185" spans="1:4" x14ac:dyDescent="0.25">
      <c r="A185" s="7" t="s">
        <v>3</v>
      </c>
      <c r="B185" s="7">
        <v>1431</v>
      </c>
      <c r="C185" s="7" t="s">
        <v>36</v>
      </c>
      <c r="D185" s="7">
        <v>2025</v>
      </c>
    </row>
    <row r="186" spans="1:4" x14ac:dyDescent="0.25">
      <c r="A186" s="7" t="s">
        <v>6</v>
      </c>
      <c r="B186" s="7">
        <v>549</v>
      </c>
      <c r="C186" s="7" t="s">
        <v>36</v>
      </c>
      <c r="D186" s="7">
        <v>2025</v>
      </c>
    </row>
    <row r="187" spans="1:4" x14ac:dyDescent="0.25">
      <c r="A187" s="7" t="s">
        <v>5</v>
      </c>
      <c r="B187" s="7">
        <v>538</v>
      </c>
      <c r="C187" s="7" t="s">
        <v>36</v>
      </c>
      <c r="D187" s="7">
        <v>2025</v>
      </c>
    </row>
    <row r="188" spans="1:4" x14ac:dyDescent="0.25">
      <c r="A188" s="7" t="s">
        <v>4</v>
      </c>
      <c r="B188" s="7">
        <v>524</v>
      </c>
      <c r="C188" s="7" t="s">
        <v>36</v>
      </c>
      <c r="D188" s="7">
        <v>2025</v>
      </c>
    </row>
    <row r="189" spans="1:4" x14ac:dyDescent="0.25">
      <c r="A189" s="7" t="s">
        <v>54</v>
      </c>
      <c r="B189" s="7">
        <v>477</v>
      </c>
      <c r="C189" s="7" t="s">
        <v>36</v>
      </c>
      <c r="D189" s="7">
        <v>2025</v>
      </c>
    </row>
    <row r="190" spans="1:4" x14ac:dyDescent="0.25">
      <c r="A190" s="7" t="s">
        <v>7</v>
      </c>
      <c r="B190" s="7">
        <v>255</v>
      </c>
      <c r="C190" s="7" t="s">
        <v>36</v>
      </c>
      <c r="D190" s="7">
        <v>2025</v>
      </c>
    </row>
    <row r="191" spans="1:4" x14ac:dyDescent="0.25">
      <c r="A191" s="7" t="s">
        <v>17</v>
      </c>
      <c r="B191" s="7">
        <v>223</v>
      </c>
      <c r="C191" s="7" t="s">
        <v>36</v>
      </c>
      <c r="D191" s="7">
        <v>2025</v>
      </c>
    </row>
    <row r="192" spans="1:4" x14ac:dyDescent="0.25">
      <c r="A192" s="7" t="s">
        <v>43</v>
      </c>
      <c r="B192" s="7">
        <v>184</v>
      </c>
      <c r="C192" s="7" t="s">
        <v>36</v>
      </c>
      <c r="D192" s="7">
        <v>2025</v>
      </c>
    </row>
    <row r="193" spans="1:4" x14ac:dyDescent="0.25">
      <c r="A193" s="7" t="s">
        <v>9</v>
      </c>
      <c r="B193" s="7">
        <v>146</v>
      </c>
      <c r="C193" s="7" t="s">
        <v>36</v>
      </c>
      <c r="D193" s="7">
        <v>2025</v>
      </c>
    </row>
    <row r="194" spans="1:4" x14ac:dyDescent="0.25">
      <c r="A194" s="7" t="s">
        <v>8</v>
      </c>
      <c r="B194" s="7">
        <v>140</v>
      </c>
      <c r="C194" s="7" t="s">
        <v>36</v>
      </c>
      <c r="D194" s="7">
        <v>2025</v>
      </c>
    </row>
    <row r="195" spans="1:4" x14ac:dyDescent="0.25">
      <c r="A195" s="7" t="s">
        <v>47</v>
      </c>
      <c r="B195" s="7">
        <v>135</v>
      </c>
      <c r="C195" s="7" t="s">
        <v>36</v>
      </c>
      <c r="D195" s="7">
        <v>2025</v>
      </c>
    </row>
    <row r="196" spans="1:4" x14ac:dyDescent="0.25">
      <c r="A196" s="7" t="s">
        <v>13</v>
      </c>
      <c r="B196" s="7">
        <v>127</v>
      </c>
      <c r="C196" s="7" t="s">
        <v>36</v>
      </c>
      <c r="D196" s="7">
        <v>2025</v>
      </c>
    </row>
    <row r="197" spans="1:4" x14ac:dyDescent="0.25">
      <c r="A197" s="7" t="s">
        <v>16</v>
      </c>
      <c r="B197" s="7">
        <v>113</v>
      </c>
      <c r="C197" s="7" t="s">
        <v>36</v>
      </c>
      <c r="D197" s="7">
        <v>2025</v>
      </c>
    </row>
    <row r="198" spans="1:4" x14ac:dyDescent="0.25">
      <c r="A198" s="7" t="s">
        <v>58</v>
      </c>
      <c r="B198" s="7">
        <v>106</v>
      </c>
      <c r="C198" s="7" t="s">
        <v>36</v>
      </c>
      <c r="D198" s="7">
        <v>2025</v>
      </c>
    </row>
    <row r="199" spans="1:4" x14ac:dyDescent="0.25">
      <c r="A199" s="7" t="s">
        <v>10</v>
      </c>
      <c r="B199" s="7">
        <v>103</v>
      </c>
      <c r="C199" s="7" t="s">
        <v>36</v>
      </c>
      <c r="D199" s="7">
        <v>2025</v>
      </c>
    </row>
    <row r="200" spans="1:4" x14ac:dyDescent="0.25">
      <c r="A200" s="7" t="s">
        <v>14</v>
      </c>
      <c r="B200" s="7">
        <v>92</v>
      </c>
      <c r="C200" s="7" t="s">
        <v>36</v>
      </c>
      <c r="D200" s="7">
        <v>2025</v>
      </c>
    </row>
    <row r="201" spans="1:4" x14ac:dyDescent="0.25">
      <c r="A201" s="7" t="s">
        <v>18</v>
      </c>
      <c r="B201" s="7">
        <v>84</v>
      </c>
      <c r="C201" s="7" t="s">
        <v>36</v>
      </c>
      <c r="D201" s="7">
        <v>2025</v>
      </c>
    </row>
    <row r="202" spans="1:4" x14ac:dyDescent="0.25">
      <c r="A202" s="7" t="s">
        <v>44</v>
      </c>
      <c r="B202" s="7">
        <v>80</v>
      </c>
      <c r="C202" s="7" t="s">
        <v>36</v>
      </c>
      <c r="D202" s="7">
        <v>2025</v>
      </c>
    </row>
    <row r="203" spans="1:4" x14ac:dyDescent="0.25">
      <c r="A203" s="7" t="s">
        <v>56</v>
      </c>
      <c r="B203" s="7">
        <v>57</v>
      </c>
      <c r="C203" s="7" t="s">
        <v>36</v>
      </c>
      <c r="D203" s="7">
        <v>2025</v>
      </c>
    </row>
    <row r="204" spans="1:4" x14ac:dyDescent="0.25">
      <c r="A204" s="7" t="s">
        <v>15</v>
      </c>
      <c r="B204" s="7">
        <v>4</v>
      </c>
      <c r="C204" s="7" t="s">
        <v>36</v>
      </c>
      <c r="D204" s="7">
        <v>2025</v>
      </c>
    </row>
    <row r="205" spans="1:4" x14ac:dyDescent="0.25">
      <c r="A205" s="7" t="s">
        <v>21</v>
      </c>
      <c r="B205" s="7">
        <v>2</v>
      </c>
      <c r="C205" s="7" t="s">
        <v>36</v>
      </c>
      <c r="D205" s="7">
        <v>2025</v>
      </c>
    </row>
    <row r="206" spans="1:4" x14ac:dyDescent="0.25">
      <c r="A206" s="7" t="s">
        <v>23</v>
      </c>
      <c r="B206" s="7">
        <v>1</v>
      </c>
      <c r="C206" s="7" t="s">
        <v>36</v>
      </c>
      <c r="D206" s="7">
        <v>2025</v>
      </c>
    </row>
    <row r="207" spans="1:4" x14ac:dyDescent="0.25">
      <c r="A207" s="7" t="s">
        <v>25</v>
      </c>
      <c r="B207" s="7">
        <v>1</v>
      </c>
      <c r="C207" s="7" t="s">
        <v>36</v>
      </c>
      <c r="D207" s="7">
        <v>2025</v>
      </c>
    </row>
    <row r="208" spans="1:4" x14ac:dyDescent="0.25">
      <c r="A208" s="7" t="s">
        <v>26</v>
      </c>
      <c r="B208" s="7">
        <v>1</v>
      </c>
      <c r="C208" s="7" t="s">
        <v>36</v>
      </c>
      <c r="D208" s="7">
        <v>2025</v>
      </c>
    </row>
    <row r="209" spans="1:4" x14ac:dyDescent="0.25">
      <c r="A209" s="7" t="s">
        <v>24</v>
      </c>
      <c r="B209" s="7">
        <v>1</v>
      </c>
      <c r="C209" s="7" t="s">
        <v>36</v>
      </c>
      <c r="D209" s="7">
        <v>2025</v>
      </c>
    </row>
    <row r="210" spans="1:4" x14ac:dyDescent="0.25">
      <c r="A210" s="7" t="s">
        <v>3</v>
      </c>
      <c r="B210" s="7">
        <v>1653</v>
      </c>
      <c r="C210" s="7" t="s">
        <v>37</v>
      </c>
      <c r="D210" s="7">
        <v>2025</v>
      </c>
    </row>
    <row r="211" spans="1:4" x14ac:dyDescent="0.25">
      <c r="A211" s="7" t="s">
        <v>4</v>
      </c>
      <c r="B211" s="7">
        <v>638</v>
      </c>
      <c r="C211" s="7" t="s">
        <v>37</v>
      </c>
      <c r="D211" s="7">
        <v>2025</v>
      </c>
    </row>
    <row r="212" spans="1:4" x14ac:dyDescent="0.25">
      <c r="A212" s="7" t="s">
        <v>5</v>
      </c>
      <c r="B212" s="7">
        <v>637</v>
      </c>
      <c r="C212" s="7" t="s">
        <v>37</v>
      </c>
      <c r="D212" s="7">
        <v>2025</v>
      </c>
    </row>
    <row r="213" spans="1:4" x14ac:dyDescent="0.25">
      <c r="A213" s="7" t="s">
        <v>6</v>
      </c>
      <c r="B213" s="7">
        <v>615</v>
      </c>
      <c r="C213" s="7" t="s">
        <v>37</v>
      </c>
      <c r="D213" s="7">
        <v>2025</v>
      </c>
    </row>
    <row r="214" spans="1:4" x14ac:dyDescent="0.25">
      <c r="A214" s="7" t="s">
        <v>54</v>
      </c>
      <c r="B214" s="7">
        <v>553</v>
      </c>
      <c r="C214" s="7" t="s">
        <v>37</v>
      </c>
      <c r="D214" s="7">
        <v>2025</v>
      </c>
    </row>
    <row r="215" spans="1:4" x14ac:dyDescent="0.25">
      <c r="A215" s="7" t="s">
        <v>7</v>
      </c>
      <c r="B215" s="7">
        <v>268</v>
      </c>
      <c r="C215" s="7" t="s">
        <v>37</v>
      </c>
      <c r="D215" s="7">
        <v>2025</v>
      </c>
    </row>
    <row r="216" spans="1:4" x14ac:dyDescent="0.25">
      <c r="A216" s="7" t="s">
        <v>43</v>
      </c>
      <c r="B216" s="7">
        <v>241</v>
      </c>
      <c r="C216" s="7" t="s">
        <v>37</v>
      </c>
      <c r="D216" s="7">
        <v>2025</v>
      </c>
    </row>
    <row r="217" spans="1:4" x14ac:dyDescent="0.25">
      <c r="A217" s="7" t="s">
        <v>17</v>
      </c>
      <c r="B217" s="7">
        <v>220</v>
      </c>
      <c r="C217" s="7" t="s">
        <v>37</v>
      </c>
      <c r="D217" s="7">
        <v>2025</v>
      </c>
    </row>
    <row r="218" spans="1:4" x14ac:dyDescent="0.25">
      <c r="A218" s="7" t="s">
        <v>8</v>
      </c>
      <c r="B218" s="7">
        <v>199</v>
      </c>
      <c r="C218" s="7" t="s">
        <v>37</v>
      </c>
      <c r="D218" s="7">
        <v>2025</v>
      </c>
    </row>
    <row r="219" spans="1:4" x14ac:dyDescent="0.25">
      <c r="A219" s="7" t="s">
        <v>47</v>
      </c>
      <c r="B219" s="7">
        <v>188</v>
      </c>
      <c r="C219" s="7" t="s">
        <v>37</v>
      </c>
      <c r="D219" s="7">
        <v>2025</v>
      </c>
    </row>
    <row r="220" spans="1:4" x14ac:dyDescent="0.25">
      <c r="A220" s="7" t="s">
        <v>58</v>
      </c>
      <c r="B220" s="7">
        <v>158</v>
      </c>
      <c r="C220" s="7" t="s">
        <v>37</v>
      </c>
      <c r="D220" s="7">
        <v>2025</v>
      </c>
    </row>
    <row r="221" spans="1:4" x14ac:dyDescent="0.25">
      <c r="A221" s="7" t="s">
        <v>9</v>
      </c>
      <c r="B221" s="7">
        <v>137</v>
      </c>
      <c r="C221" s="7" t="s">
        <v>37</v>
      </c>
      <c r="D221" s="7">
        <v>2025</v>
      </c>
    </row>
    <row r="222" spans="1:4" x14ac:dyDescent="0.25">
      <c r="A222" s="7" t="s">
        <v>13</v>
      </c>
      <c r="B222" s="7">
        <v>136</v>
      </c>
      <c r="C222" s="7" t="s">
        <v>37</v>
      </c>
      <c r="D222" s="7">
        <v>2025</v>
      </c>
    </row>
    <row r="223" spans="1:4" x14ac:dyDescent="0.25">
      <c r="A223" s="7" t="s">
        <v>10</v>
      </c>
      <c r="B223" s="7">
        <v>120</v>
      </c>
      <c r="C223" s="7" t="s">
        <v>37</v>
      </c>
      <c r="D223" s="7">
        <v>2025</v>
      </c>
    </row>
    <row r="224" spans="1:4" x14ac:dyDescent="0.25">
      <c r="A224" s="7" t="s">
        <v>44</v>
      </c>
      <c r="B224" s="7">
        <v>105</v>
      </c>
      <c r="C224" s="7" t="s">
        <v>37</v>
      </c>
      <c r="D224" s="7">
        <v>2025</v>
      </c>
    </row>
    <row r="225" spans="1:4" x14ac:dyDescent="0.25">
      <c r="A225" s="7" t="s">
        <v>14</v>
      </c>
      <c r="B225" s="7">
        <v>88</v>
      </c>
      <c r="C225" s="7" t="s">
        <v>37</v>
      </c>
      <c r="D225" s="7">
        <v>2025</v>
      </c>
    </row>
    <row r="226" spans="1:4" x14ac:dyDescent="0.25">
      <c r="A226" s="7" t="s">
        <v>56</v>
      </c>
      <c r="B226" s="7">
        <v>57</v>
      </c>
      <c r="C226" s="7" t="s">
        <v>37</v>
      </c>
      <c r="D226" s="7">
        <v>2025</v>
      </c>
    </row>
    <row r="227" spans="1:4" x14ac:dyDescent="0.25">
      <c r="A227" s="7" t="s">
        <v>59</v>
      </c>
      <c r="B227" s="7">
        <v>47</v>
      </c>
      <c r="C227" s="7" t="s">
        <v>37</v>
      </c>
      <c r="D227" s="7">
        <v>2025</v>
      </c>
    </row>
    <row r="228" spans="1:4" x14ac:dyDescent="0.25">
      <c r="A228" s="7" t="s">
        <v>18</v>
      </c>
      <c r="B228" s="7">
        <v>33</v>
      </c>
      <c r="C228" s="7" t="s">
        <v>37</v>
      </c>
      <c r="D228" s="7">
        <v>2025</v>
      </c>
    </row>
    <row r="229" spans="1:4" x14ac:dyDescent="0.25">
      <c r="A229" s="7" t="s">
        <v>60</v>
      </c>
      <c r="B229" s="7">
        <v>32</v>
      </c>
      <c r="C229" s="7" t="s">
        <v>37</v>
      </c>
      <c r="D229" s="7">
        <v>2025</v>
      </c>
    </row>
    <row r="230" spans="1:4" x14ac:dyDescent="0.25">
      <c r="A230" s="7" t="s">
        <v>23</v>
      </c>
      <c r="B230" s="7">
        <v>7</v>
      </c>
      <c r="C230" s="7" t="s">
        <v>37</v>
      </c>
      <c r="D230" s="7">
        <v>2025</v>
      </c>
    </row>
    <row r="231" spans="1:4" x14ac:dyDescent="0.25">
      <c r="A231" s="7" t="s">
        <v>24</v>
      </c>
      <c r="B231" s="7">
        <v>7</v>
      </c>
      <c r="C231" s="7" t="s">
        <v>37</v>
      </c>
      <c r="D231" s="7">
        <v>2025</v>
      </c>
    </row>
    <row r="232" spans="1:4" x14ac:dyDescent="0.25">
      <c r="A232" s="7" t="s">
        <v>46</v>
      </c>
      <c r="B232" s="7">
        <v>3</v>
      </c>
      <c r="C232" s="7" t="s">
        <v>37</v>
      </c>
      <c r="D232" s="7">
        <v>2025</v>
      </c>
    </row>
    <row r="233" spans="1:4" x14ac:dyDescent="0.25">
      <c r="A233" s="7" t="s">
        <v>15</v>
      </c>
      <c r="B233" s="7">
        <v>2</v>
      </c>
      <c r="C233" s="7" t="s">
        <v>37</v>
      </c>
      <c r="D233" s="7">
        <v>2025</v>
      </c>
    </row>
    <row r="234" spans="1:4" x14ac:dyDescent="0.25">
      <c r="A234" s="7" t="s">
        <v>42</v>
      </c>
      <c r="B234" s="7">
        <v>2</v>
      </c>
      <c r="C234" s="7" t="s">
        <v>37</v>
      </c>
      <c r="D234" s="7">
        <v>2025</v>
      </c>
    </row>
    <row r="235" spans="1:4" x14ac:dyDescent="0.25">
      <c r="A235" s="7" t="s">
        <v>3</v>
      </c>
      <c r="B235" s="7">
        <v>1446</v>
      </c>
      <c r="C235" s="7" t="s">
        <v>38</v>
      </c>
      <c r="D235" s="7">
        <v>2025</v>
      </c>
    </row>
    <row r="236" spans="1:4" x14ac:dyDescent="0.25">
      <c r="A236" s="7" t="s">
        <v>6</v>
      </c>
      <c r="B236" s="7">
        <v>749</v>
      </c>
      <c r="C236" s="7" t="s">
        <v>38</v>
      </c>
      <c r="D236" s="7">
        <v>2025</v>
      </c>
    </row>
    <row r="237" spans="1:4" x14ac:dyDescent="0.25">
      <c r="A237" s="7" t="s">
        <v>4</v>
      </c>
      <c r="B237" s="7">
        <v>741</v>
      </c>
      <c r="C237" s="7" t="s">
        <v>38</v>
      </c>
      <c r="D237" s="7">
        <v>2025</v>
      </c>
    </row>
    <row r="238" spans="1:4" x14ac:dyDescent="0.25">
      <c r="A238" s="7" t="s">
        <v>54</v>
      </c>
      <c r="B238" s="7">
        <v>715</v>
      </c>
      <c r="C238" s="7" t="s">
        <v>38</v>
      </c>
      <c r="D238" s="7">
        <v>2025</v>
      </c>
    </row>
    <row r="239" spans="1:4" x14ac:dyDescent="0.25">
      <c r="A239" s="7" t="s">
        <v>7</v>
      </c>
      <c r="B239" s="7">
        <v>290</v>
      </c>
      <c r="C239" s="7" t="s">
        <v>38</v>
      </c>
      <c r="D239" s="7">
        <v>2025</v>
      </c>
    </row>
    <row r="240" spans="1:4" x14ac:dyDescent="0.25">
      <c r="A240" s="7" t="s">
        <v>17</v>
      </c>
      <c r="B240" s="7">
        <v>264</v>
      </c>
      <c r="C240" s="7" t="s">
        <v>38</v>
      </c>
      <c r="D240" s="7">
        <v>2025</v>
      </c>
    </row>
    <row r="241" spans="1:4" x14ac:dyDescent="0.25">
      <c r="A241" s="7" t="s">
        <v>43</v>
      </c>
      <c r="B241" s="7">
        <v>251</v>
      </c>
      <c r="C241" s="7" t="s">
        <v>38</v>
      </c>
      <c r="D241" s="7">
        <v>2025</v>
      </c>
    </row>
    <row r="242" spans="1:4" x14ac:dyDescent="0.25">
      <c r="A242" s="7" t="s">
        <v>8</v>
      </c>
      <c r="B242" s="7">
        <v>221</v>
      </c>
      <c r="C242" s="7" t="s">
        <v>38</v>
      </c>
      <c r="D242" s="7">
        <v>2025</v>
      </c>
    </row>
    <row r="243" spans="1:4" x14ac:dyDescent="0.25">
      <c r="A243" s="7" t="s">
        <v>47</v>
      </c>
      <c r="B243" s="7">
        <v>197</v>
      </c>
      <c r="C243" s="7" t="s">
        <v>38</v>
      </c>
      <c r="D243" s="7">
        <v>2025</v>
      </c>
    </row>
    <row r="244" spans="1:4" x14ac:dyDescent="0.25">
      <c r="A244" s="7" t="s">
        <v>58</v>
      </c>
      <c r="B244" s="7">
        <v>176</v>
      </c>
      <c r="C244" s="7" t="s">
        <v>38</v>
      </c>
      <c r="D244" s="7">
        <v>2025</v>
      </c>
    </row>
    <row r="245" spans="1:4" x14ac:dyDescent="0.25">
      <c r="A245" s="7" t="s">
        <v>9</v>
      </c>
      <c r="B245" s="7">
        <v>176</v>
      </c>
      <c r="C245" s="7" t="s">
        <v>38</v>
      </c>
      <c r="D245" s="7">
        <v>2025</v>
      </c>
    </row>
    <row r="246" spans="1:4" x14ac:dyDescent="0.25">
      <c r="A246" s="7" t="s">
        <v>13</v>
      </c>
      <c r="B246" s="7">
        <v>122</v>
      </c>
      <c r="C246" s="7" t="s">
        <v>38</v>
      </c>
      <c r="D246" s="7">
        <v>2025</v>
      </c>
    </row>
    <row r="247" spans="1:4" x14ac:dyDescent="0.25">
      <c r="A247" s="7" t="s">
        <v>18</v>
      </c>
      <c r="B247" s="7">
        <v>121</v>
      </c>
      <c r="C247" s="7" t="s">
        <v>38</v>
      </c>
      <c r="D247" s="7">
        <v>2025</v>
      </c>
    </row>
    <row r="248" spans="1:4" x14ac:dyDescent="0.25">
      <c r="A248" s="7" t="s">
        <v>44</v>
      </c>
      <c r="B248" s="7">
        <v>100</v>
      </c>
      <c r="C248" s="7" t="s">
        <v>38</v>
      </c>
      <c r="D248" s="7">
        <v>2025</v>
      </c>
    </row>
    <row r="249" spans="1:4" x14ac:dyDescent="0.25">
      <c r="A249" s="7" t="s">
        <v>59</v>
      </c>
      <c r="B249" s="7">
        <v>79</v>
      </c>
      <c r="C249" s="7" t="s">
        <v>38</v>
      </c>
      <c r="D249" s="7">
        <v>2025</v>
      </c>
    </row>
    <row r="250" spans="1:4" x14ac:dyDescent="0.25">
      <c r="A250" s="7" t="s">
        <v>14</v>
      </c>
      <c r="B250" s="7">
        <v>69</v>
      </c>
      <c r="C250" s="7" t="s">
        <v>38</v>
      </c>
      <c r="D250" s="7">
        <v>2025</v>
      </c>
    </row>
    <row r="251" spans="1:4" x14ac:dyDescent="0.25">
      <c r="A251" s="7" t="s">
        <v>60</v>
      </c>
      <c r="B251" s="7">
        <v>54</v>
      </c>
      <c r="C251" s="7" t="s">
        <v>38</v>
      </c>
      <c r="D251" s="7">
        <v>2025</v>
      </c>
    </row>
    <row r="252" spans="1:4" x14ac:dyDescent="0.25">
      <c r="A252" s="7" t="s">
        <v>5</v>
      </c>
      <c r="B252" s="7">
        <v>32</v>
      </c>
      <c r="C252" s="7" t="s">
        <v>38</v>
      </c>
      <c r="D252" s="7">
        <v>2025</v>
      </c>
    </row>
    <row r="253" spans="1:4" x14ac:dyDescent="0.25">
      <c r="A253" s="7" t="s">
        <v>56</v>
      </c>
      <c r="B253" s="7">
        <v>10</v>
      </c>
      <c r="C253" s="7" t="s">
        <v>38</v>
      </c>
      <c r="D253" s="7">
        <v>2025</v>
      </c>
    </row>
    <row r="254" spans="1:4" x14ac:dyDescent="0.25">
      <c r="A254" s="7" t="s">
        <v>15</v>
      </c>
      <c r="B254" s="7">
        <v>4</v>
      </c>
      <c r="C254" s="7" t="s">
        <v>38</v>
      </c>
      <c r="D254" s="7">
        <v>2025</v>
      </c>
    </row>
    <row r="255" spans="1:4" x14ac:dyDescent="0.25">
      <c r="A255" s="7" t="s">
        <v>62</v>
      </c>
      <c r="B255" s="7">
        <v>4</v>
      </c>
      <c r="C255" s="7" t="s">
        <v>38</v>
      </c>
      <c r="D255" s="7">
        <v>2025</v>
      </c>
    </row>
    <row r="256" spans="1:4" x14ac:dyDescent="0.25">
      <c r="A256" s="7" t="s">
        <v>24</v>
      </c>
      <c r="B256" s="7">
        <v>3</v>
      </c>
      <c r="C256" s="7" t="s">
        <v>38</v>
      </c>
      <c r="D256" s="7">
        <v>2025</v>
      </c>
    </row>
    <row r="257" spans="1:4" x14ac:dyDescent="0.25">
      <c r="A257" s="7" t="s">
        <v>46</v>
      </c>
      <c r="B257" s="7">
        <v>2</v>
      </c>
      <c r="C257" s="7" t="s">
        <v>38</v>
      </c>
      <c r="D257" s="7">
        <v>2025</v>
      </c>
    </row>
    <row r="258" spans="1:4" x14ac:dyDescent="0.25">
      <c r="A258" s="7" t="s">
        <v>42</v>
      </c>
      <c r="B258" s="7">
        <v>1</v>
      </c>
      <c r="C258" s="7" t="s">
        <v>38</v>
      </c>
      <c r="D258" s="7">
        <v>2025</v>
      </c>
    </row>
    <row r="259" spans="1:4" x14ac:dyDescent="0.25">
      <c r="A259" s="7" t="s">
        <v>3</v>
      </c>
      <c r="B259" s="7">
        <v>1140</v>
      </c>
      <c r="C259" s="7" t="s">
        <v>39</v>
      </c>
      <c r="D259" s="7">
        <v>2025</v>
      </c>
    </row>
    <row r="260" spans="1:4" x14ac:dyDescent="0.25">
      <c r="A260" s="7" t="s">
        <v>5</v>
      </c>
      <c r="B260" s="7">
        <v>663</v>
      </c>
      <c r="C260" s="7" t="s">
        <v>39</v>
      </c>
      <c r="D260" s="7">
        <v>2025</v>
      </c>
    </row>
    <row r="261" spans="1:4" x14ac:dyDescent="0.25">
      <c r="A261" s="7" t="s">
        <v>6</v>
      </c>
      <c r="B261" s="7">
        <v>622</v>
      </c>
      <c r="C261" s="7" t="s">
        <v>39</v>
      </c>
      <c r="D261" s="7">
        <v>2025</v>
      </c>
    </row>
    <row r="262" spans="1:4" x14ac:dyDescent="0.25">
      <c r="A262" s="7" t="s">
        <v>54</v>
      </c>
      <c r="B262" s="7">
        <v>546</v>
      </c>
      <c r="C262" s="7" t="s">
        <v>39</v>
      </c>
      <c r="D262" s="7">
        <v>2025</v>
      </c>
    </row>
    <row r="263" spans="1:4" x14ac:dyDescent="0.25">
      <c r="A263" s="7" t="s">
        <v>7</v>
      </c>
      <c r="B263" s="7">
        <v>233</v>
      </c>
      <c r="C263" s="7" t="s">
        <v>39</v>
      </c>
      <c r="D263" s="7">
        <v>2025</v>
      </c>
    </row>
    <row r="264" spans="1:4" x14ac:dyDescent="0.25">
      <c r="A264" s="7" t="s">
        <v>8</v>
      </c>
      <c r="B264" s="7">
        <v>210</v>
      </c>
      <c r="C264" s="7" t="s">
        <v>39</v>
      </c>
      <c r="D264" s="7">
        <v>2025</v>
      </c>
    </row>
    <row r="265" spans="1:4" x14ac:dyDescent="0.25">
      <c r="A265" s="7" t="s">
        <v>17</v>
      </c>
      <c r="B265" s="7">
        <v>193</v>
      </c>
      <c r="C265" s="7" t="s">
        <v>39</v>
      </c>
      <c r="D265" s="7">
        <v>2025</v>
      </c>
    </row>
    <row r="266" spans="1:4" x14ac:dyDescent="0.25">
      <c r="A266" s="7" t="s">
        <v>43</v>
      </c>
      <c r="B266" s="7">
        <v>177</v>
      </c>
      <c r="C266" s="7" t="s">
        <v>39</v>
      </c>
      <c r="D266" s="7">
        <v>2025</v>
      </c>
    </row>
    <row r="267" spans="1:4" x14ac:dyDescent="0.25">
      <c r="A267" s="7" t="s">
        <v>60</v>
      </c>
      <c r="B267" s="7">
        <v>167</v>
      </c>
      <c r="C267" s="7" t="s">
        <v>39</v>
      </c>
      <c r="D267" s="7">
        <v>2025</v>
      </c>
    </row>
    <row r="268" spans="1:4" x14ac:dyDescent="0.25">
      <c r="A268" s="7" t="s">
        <v>58</v>
      </c>
      <c r="B268" s="7">
        <v>154</v>
      </c>
      <c r="C268" s="7" t="s">
        <v>39</v>
      </c>
      <c r="D268" s="7">
        <v>2025</v>
      </c>
    </row>
    <row r="269" spans="1:4" x14ac:dyDescent="0.25">
      <c r="A269" s="7" t="s">
        <v>18</v>
      </c>
      <c r="B269" s="7">
        <v>140</v>
      </c>
      <c r="C269" s="7" t="s">
        <v>39</v>
      </c>
      <c r="D269" s="7">
        <v>2025</v>
      </c>
    </row>
    <row r="270" spans="1:4" x14ac:dyDescent="0.25">
      <c r="A270" s="7" t="s">
        <v>13</v>
      </c>
      <c r="B270" s="7">
        <v>123</v>
      </c>
      <c r="C270" s="7" t="s">
        <v>39</v>
      </c>
      <c r="D270" s="7">
        <v>2025</v>
      </c>
    </row>
    <row r="271" spans="1:4" x14ac:dyDescent="0.25">
      <c r="A271" s="7" t="s">
        <v>9</v>
      </c>
      <c r="B271" s="7">
        <v>118</v>
      </c>
      <c r="C271" s="7" t="s">
        <v>39</v>
      </c>
      <c r="D271" s="7">
        <v>2025</v>
      </c>
    </row>
    <row r="272" spans="1:4" x14ac:dyDescent="0.25">
      <c r="A272" s="7" t="s">
        <v>44</v>
      </c>
      <c r="B272" s="7">
        <v>92</v>
      </c>
      <c r="C272" s="7" t="s">
        <v>39</v>
      </c>
      <c r="D272" s="7">
        <v>2025</v>
      </c>
    </row>
    <row r="273" spans="1:4" x14ac:dyDescent="0.25">
      <c r="A273" s="7" t="s">
        <v>62</v>
      </c>
      <c r="B273" s="7">
        <v>81</v>
      </c>
      <c r="C273" s="7" t="s">
        <v>39</v>
      </c>
      <c r="D273" s="7">
        <v>2025</v>
      </c>
    </row>
    <row r="274" spans="1:4" x14ac:dyDescent="0.25">
      <c r="A274" s="7" t="s">
        <v>14</v>
      </c>
      <c r="B274" s="7">
        <v>80</v>
      </c>
      <c r="C274" s="7" t="s">
        <v>39</v>
      </c>
      <c r="D274" s="7">
        <v>2025</v>
      </c>
    </row>
    <row r="275" spans="1:4" x14ac:dyDescent="0.25">
      <c r="A275" s="7" t="s">
        <v>59</v>
      </c>
      <c r="B275" s="7">
        <v>40</v>
      </c>
      <c r="C275" s="7" t="s">
        <v>39</v>
      </c>
      <c r="D275" s="7">
        <v>2025</v>
      </c>
    </row>
    <row r="276" spans="1:4" x14ac:dyDescent="0.25">
      <c r="A276" s="7" t="s">
        <v>15</v>
      </c>
      <c r="B276" s="7">
        <v>4</v>
      </c>
      <c r="C276" s="7" t="s">
        <v>39</v>
      </c>
      <c r="D276" s="7">
        <v>2025</v>
      </c>
    </row>
    <row r="277" spans="1:4" x14ac:dyDescent="0.25">
      <c r="A277" s="7" t="s">
        <v>47</v>
      </c>
      <c r="B277" s="7">
        <v>4</v>
      </c>
      <c r="C277" s="7" t="s">
        <v>39</v>
      </c>
      <c r="D277" s="7">
        <v>2025</v>
      </c>
    </row>
    <row r="278" spans="1:4" x14ac:dyDescent="0.25">
      <c r="A278" s="7" t="s">
        <v>63</v>
      </c>
      <c r="B278" s="7">
        <v>3</v>
      </c>
      <c r="C278" s="7" t="s">
        <v>39</v>
      </c>
      <c r="D278" s="7">
        <v>2025</v>
      </c>
    </row>
    <row r="279" spans="1:4" x14ac:dyDescent="0.25">
      <c r="A279" s="7" t="s">
        <v>24</v>
      </c>
      <c r="B279" s="7">
        <v>2</v>
      </c>
      <c r="C279" s="7" t="s">
        <v>39</v>
      </c>
      <c r="D279" s="7">
        <v>2025</v>
      </c>
    </row>
    <row r="280" spans="1:4" x14ac:dyDescent="0.25">
      <c r="A280" s="7" t="s">
        <v>3</v>
      </c>
      <c r="B280" s="7">
        <v>756</v>
      </c>
      <c r="C280" s="7" t="s">
        <v>40</v>
      </c>
      <c r="D280" s="7">
        <v>2025</v>
      </c>
    </row>
    <row r="281" spans="1:4" x14ac:dyDescent="0.25">
      <c r="A281" s="7" t="s">
        <v>54</v>
      </c>
      <c r="B281" s="7">
        <v>542</v>
      </c>
      <c r="C281" s="7" t="s">
        <v>40</v>
      </c>
      <c r="D281" s="7">
        <v>2025</v>
      </c>
    </row>
    <row r="282" spans="1:4" x14ac:dyDescent="0.25">
      <c r="A282" s="7" t="s">
        <v>5</v>
      </c>
      <c r="B282" s="7">
        <v>510</v>
      </c>
      <c r="C282" s="7" t="s">
        <v>40</v>
      </c>
      <c r="D282" s="7">
        <v>2025</v>
      </c>
    </row>
    <row r="283" spans="1:4" x14ac:dyDescent="0.25">
      <c r="A283" s="7" t="s">
        <v>4</v>
      </c>
      <c r="B283" s="7">
        <v>495</v>
      </c>
      <c r="C283" s="7" t="s">
        <v>40</v>
      </c>
      <c r="D283" s="7">
        <v>2025</v>
      </c>
    </row>
    <row r="284" spans="1:4" x14ac:dyDescent="0.25">
      <c r="A284" s="7" t="s">
        <v>8</v>
      </c>
      <c r="B284" s="7">
        <v>193</v>
      </c>
      <c r="C284" s="7" t="s">
        <v>40</v>
      </c>
      <c r="D284" s="7">
        <v>2025</v>
      </c>
    </row>
    <row r="285" spans="1:4" x14ac:dyDescent="0.25">
      <c r="A285" s="7" t="s">
        <v>58</v>
      </c>
      <c r="B285" s="7">
        <v>181</v>
      </c>
      <c r="C285" s="7" t="s">
        <v>40</v>
      </c>
      <c r="D285" s="7">
        <v>2025</v>
      </c>
    </row>
    <row r="286" spans="1:4" x14ac:dyDescent="0.25">
      <c r="A286" s="7" t="s">
        <v>43</v>
      </c>
      <c r="B286" s="7">
        <v>173</v>
      </c>
      <c r="C286" s="7" t="s">
        <v>40</v>
      </c>
      <c r="D286" s="7">
        <v>2025</v>
      </c>
    </row>
    <row r="287" spans="1:4" x14ac:dyDescent="0.25">
      <c r="A287" s="7" t="s">
        <v>7</v>
      </c>
      <c r="B287" s="7">
        <v>141</v>
      </c>
      <c r="C287" s="7" t="s">
        <v>40</v>
      </c>
      <c r="D287" s="7">
        <v>2025</v>
      </c>
    </row>
    <row r="288" spans="1:4" x14ac:dyDescent="0.25">
      <c r="A288" s="7" t="s">
        <v>60</v>
      </c>
      <c r="B288" s="7">
        <v>131</v>
      </c>
      <c r="C288" s="7" t="s">
        <v>40</v>
      </c>
      <c r="D288" s="7">
        <v>2025</v>
      </c>
    </row>
    <row r="289" spans="1:4" x14ac:dyDescent="0.25">
      <c r="A289" s="7" t="s">
        <v>62</v>
      </c>
      <c r="B289" s="7">
        <v>131</v>
      </c>
      <c r="C289" s="7" t="s">
        <v>40</v>
      </c>
      <c r="D289" s="7">
        <v>2025</v>
      </c>
    </row>
    <row r="290" spans="1:4" x14ac:dyDescent="0.25">
      <c r="A290" s="7" t="s">
        <v>9</v>
      </c>
      <c r="B290" s="7">
        <v>130</v>
      </c>
      <c r="C290" s="7" t="s">
        <v>40</v>
      </c>
      <c r="D290" s="7">
        <v>2025</v>
      </c>
    </row>
    <row r="291" spans="1:4" x14ac:dyDescent="0.25">
      <c r="A291" s="7" t="s">
        <v>18</v>
      </c>
      <c r="B291" s="7">
        <v>109</v>
      </c>
      <c r="C291" s="7" t="s">
        <v>40</v>
      </c>
      <c r="D291" s="7">
        <v>2025</v>
      </c>
    </row>
    <row r="292" spans="1:4" x14ac:dyDescent="0.25">
      <c r="A292" s="7" t="s">
        <v>13</v>
      </c>
      <c r="B292" s="7">
        <v>106</v>
      </c>
      <c r="C292" s="7" t="s">
        <v>40</v>
      </c>
      <c r="D292" s="7">
        <v>2025</v>
      </c>
    </row>
    <row r="293" spans="1:4" x14ac:dyDescent="0.25">
      <c r="A293" s="7" t="s">
        <v>17</v>
      </c>
      <c r="B293" s="7">
        <v>93</v>
      </c>
      <c r="C293" s="7" t="s">
        <v>40</v>
      </c>
      <c r="D293" s="7">
        <v>2025</v>
      </c>
    </row>
    <row r="294" spans="1:4" x14ac:dyDescent="0.25">
      <c r="A294" s="7" t="s">
        <v>44</v>
      </c>
      <c r="B294" s="7">
        <v>90</v>
      </c>
      <c r="C294" s="7" t="s">
        <v>40</v>
      </c>
      <c r="D294" s="7">
        <v>2025</v>
      </c>
    </row>
    <row r="295" spans="1:4" x14ac:dyDescent="0.25">
      <c r="A295" s="7" t="s">
        <v>59</v>
      </c>
      <c r="B295" s="7">
        <v>60</v>
      </c>
      <c r="C295" s="7" t="s">
        <v>40</v>
      </c>
      <c r="D295" s="7">
        <v>2025</v>
      </c>
    </row>
    <row r="296" spans="1:4" x14ac:dyDescent="0.25">
      <c r="A296" s="7" t="s">
        <v>46</v>
      </c>
      <c r="B296" s="7">
        <v>2</v>
      </c>
      <c r="C296" s="7" t="s">
        <v>40</v>
      </c>
      <c r="D296" s="7">
        <v>2025</v>
      </c>
    </row>
    <row r="297" spans="1:4" x14ac:dyDescent="0.25">
      <c r="A297" s="7" t="s">
        <v>42</v>
      </c>
      <c r="B297" s="7">
        <v>2</v>
      </c>
      <c r="C297" s="7" t="s">
        <v>40</v>
      </c>
      <c r="D297" s="7">
        <v>2025</v>
      </c>
    </row>
    <row r="298" spans="1:4" x14ac:dyDescent="0.25">
      <c r="A298" s="7" t="s">
        <v>6</v>
      </c>
      <c r="B298" s="7">
        <v>1</v>
      </c>
      <c r="C298" s="7" t="s">
        <v>40</v>
      </c>
      <c r="D298" s="7">
        <v>2025</v>
      </c>
    </row>
    <row r="299" spans="1:4" x14ac:dyDescent="0.25">
      <c r="A299" s="7" t="s">
        <v>3</v>
      </c>
      <c r="B299" s="7">
        <v>1073</v>
      </c>
      <c r="C299" s="7" t="s">
        <v>29</v>
      </c>
      <c r="D299" s="7">
        <v>2026</v>
      </c>
    </row>
    <row r="300" spans="1:4" x14ac:dyDescent="0.25">
      <c r="A300" s="7" t="s">
        <v>5</v>
      </c>
      <c r="B300" s="7">
        <v>683</v>
      </c>
      <c r="C300" s="7" t="s">
        <v>29</v>
      </c>
      <c r="D300" s="7">
        <v>2026</v>
      </c>
    </row>
    <row r="301" spans="1:4" x14ac:dyDescent="0.25">
      <c r="A301" s="7" t="s">
        <v>4</v>
      </c>
      <c r="B301" s="7">
        <v>680</v>
      </c>
      <c r="C301" s="7" t="s">
        <v>29</v>
      </c>
      <c r="D301" s="7">
        <v>2026</v>
      </c>
    </row>
    <row r="302" spans="1:4" x14ac:dyDescent="0.25">
      <c r="A302" s="7" t="s">
        <v>6</v>
      </c>
      <c r="B302" s="7">
        <v>636</v>
      </c>
      <c r="C302" s="7" t="s">
        <v>29</v>
      </c>
      <c r="D302" s="7">
        <v>2026</v>
      </c>
    </row>
    <row r="303" spans="1:4" x14ac:dyDescent="0.25">
      <c r="A303" s="7" t="s">
        <v>54</v>
      </c>
      <c r="B303" s="7">
        <v>589</v>
      </c>
      <c r="C303" s="7" t="s">
        <v>29</v>
      </c>
      <c r="D303" s="7">
        <v>2026</v>
      </c>
    </row>
    <row r="304" spans="1:4" x14ac:dyDescent="0.25">
      <c r="A304" s="7" t="s">
        <v>62</v>
      </c>
      <c r="B304" s="7">
        <v>212</v>
      </c>
      <c r="C304" s="7" t="s">
        <v>29</v>
      </c>
      <c r="D304" s="7">
        <v>2026</v>
      </c>
    </row>
    <row r="305" spans="1:4" x14ac:dyDescent="0.25">
      <c r="A305" s="7" t="s">
        <v>60</v>
      </c>
      <c r="B305" s="7">
        <v>200</v>
      </c>
      <c r="C305" s="7" t="s">
        <v>29</v>
      </c>
      <c r="D305" s="7">
        <v>2026</v>
      </c>
    </row>
    <row r="306" spans="1:4" x14ac:dyDescent="0.25">
      <c r="A306" s="7" t="s">
        <v>7</v>
      </c>
      <c r="B306" s="7">
        <v>189</v>
      </c>
      <c r="C306" s="7" t="s">
        <v>29</v>
      </c>
      <c r="D306" s="7">
        <v>2026</v>
      </c>
    </row>
    <row r="307" spans="1:4" x14ac:dyDescent="0.25">
      <c r="A307" s="7" t="s">
        <v>58</v>
      </c>
      <c r="B307" s="7">
        <v>189</v>
      </c>
      <c r="C307" s="7" t="s">
        <v>29</v>
      </c>
      <c r="D307" s="7">
        <v>2026</v>
      </c>
    </row>
    <row r="308" spans="1:4" x14ac:dyDescent="0.25">
      <c r="A308" s="7" t="s">
        <v>43</v>
      </c>
      <c r="B308" s="7">
        <v>174</v>
      </c>
      <c r="C308" s="7" t="s">
        <v>29</v>
      </c>
      <c r="D308" s="7">
        <v>2026</v>
      </c>
    </row>
    <row r="309" spans="1:4" x14ac:dyDescent="0.25">
      <c r="A309" s="7" t="s">
        <v>8</v>
      </c>
      <c r="B309" s="7">
        <v>170</v>
      </c>
      <c r="C309" s="7" t="s">
        <v>29</v>
      </c>
      <c r="D309" s="7">
        <v>2026</v>
      </c>
    </row>
    <row r="310" spans="1:4" x14ac:dyDescent="0.25">
      <c r="A310" s="7" t="s">
        <v>18</v>
      </c>
      <c r="B310" s="7">
        <v>114</v>
      </c>
      <c r="C310" s="7" t="s">
        <v>29</v>
      </c>
      <c r="D310" s="7">
        <v>2026</v>
      </c>
    </row>
    <row r="311" spans="1:4" x14ac:dyDescent="0.25">
      <c r="A311" s="7" t="s">
        <v>59</v>
      </c>
      <c r="B311" s="7">
        <v>105</v>
      </c>
      <c r="C311" s="7" t="s">
        <v>29</v>
      </c>
      <c r="D311" s="7">
        <v>2026</v>
      </c>
    </row>
    <row r="312" spans="1:4" x14ac:dyDescent="0.25">
      <c r="A312" s="7" t="s">
        <v>13</v>
      </c>
      <c r="B312" s="7">
        <v>102</v>
      </c>
      <c r="C312" s="7" t="s">
        <v>29</v>
      </c>
      <c r="D312" s="7">
        <v>2026</v>
      </c>
    </row>
    <row r="313" spans="1:4" x14ac:dyDescent="0.25">
      <c r="A313" s="7" t="s">
        <v>44</v>
      </c>
      <c r="B313" s="7">
        <v>88</v>
      </c>
      <c r="C313" s="7" t="s">
        <v>29</v>
      </c>
      <c r="D313" s="7">
        <v>2026</v>
      </c>
    </row>
    <row r="314" spans="1:4" x14ac:dyDescent="0.25">
      <c r="A314" s="7" t="s">
        <v>9</v>
      </c>
      <c r="B314" s="7">
        <v>85</v>
      </c>
      <c r="C314" s="7" t="s">
        <v>29</v>
      </c>
      <c r="D314" s="7">
        <v>2026</v>
      </c>
    </row>
    <row r="315" spans="1:4" x14ac:dyDescent="0.25">
      <c r="A315" s="7" t="s">
        <v>14</v>
      </c>
      <c r="B315" s="7">
        <v>67</v>
      </c>
      <c r="C315" s="7" t="s">
        <v>29</v>
      </c>
      <c r="D315" s="7">
        <v>2026</v>
      </c>
    </row>
    <row r="316" spans="1:4" x14ac:dyDescent="0.25">
      <c r="A316" s="7" t="s">
        <v>17</v>
      </c>
      <c r="B316" s="7">
        <v>24</v>
      </c>
      <c r="C316" s="7" t="s">
        <v>29</v>
      </c>
      <c r="D316" s="7">
        <v>2026</v>
      </c>
    </row>
    <row r="317" spans="1:4" x14ac:dyDescent="0.25">
      <c r="A317" s="7" t="s">
        <v>65</v>
      </c>
      <c r="B317" s="7">
        <v>9</v>
      </c>
      <c r="C317" s="7" t="s">
        <v>29</v>
      </c>
      <c r="D317" s="7">
        <v>2026</v>
      </c>
    </row>
    <row r="318" spans="1:4" x14ac:dyDescent="0.25">
      <c r="A318" s="7" t="s">
        <v>63</v>
      </c>
      <c r="B318" s="7">
        <v>4</v>
      </c>
      <c r="C318" s="7" t="s">
        <v>29</v>
      </c>
      <c r="D318" s="7">
        <v>2026</v>
      </c>
    </row>
    <row r="319" spans="1:4" x14ac:dyDescent="0.25">
      <c r="A319" s="7" t="s">
        <v>24</v>
      </c>
      <c r="B319" s="7">
        <v>2</v>
      </c>
      <c r="C319" s="7" t="s">
        <v>29</v>
      </c>
      <c r="D319" s="7">
        <v>2026</v>
      </c>
    </row>
    <row r="320" spans="1:4" x14ac:dyDescent="0.25">
      <c r="A320" s="7" t="s">
        <v>42</v>
      </c>
      <c r="B320" s="7">
        <v>2</v>
      </c>
      <c r="C320" s="7" t="s">
        <v>29</v>
      </c>
      <c r="D320" s="7">
        <v>2026</v>
      </c>
    </row>
    <row r="321" spans="1:4" x14ac:dyDescent="0.25">
      <c r="A321" s="7" t="s">
        <v>3</v>
      </c>
      <c r="B321" s="7">
        <v>952</v>
      </c>
      <c r="C321" s="7" t="s">
        <v>30</v>
      </c>
      <c r="D321" s="7">
        <v>2026</v>
      </c>
    </row>
    <row r="322" spans="1:4" x14ac:dyDescent="0.25">
      <c r="A322" s="7" t="s">
        <v>6</v>
      </c>
      <c r="B322" s="7">
        <v>426</v>
      </c>
      <c r="C322" s="7" t="s">
        <v>30</v>
      </c>
      <c r="D322" s="7">
        <v>2026</v>
      </c>
    </row>
    <row r="323" spans="1:4" x14ac:dyDescent="0.25">
      <c r="A323" s="7" t="s">
        <v>5</v>
      </c>
      <c r="B323" s="7">
        <v>417</v>
      </c>
      <c r="C323" s="7" t="s">
        <v>30</v>
      </c>
      <c r="D323" s="7">
        <v>2026</v>
      </c>
    </row>
    <row r="324" spans="1:4" x14ac:dyDescent="0.25">
      <c r="A324" s="7" t="s">
        <v>54</v>
      </c>
      <c r="B324" s="7">
        <v>384</v>
      </c>
      <c r="C324" s="7" t="s">
        <v>30</v>
      </c>
      <c r="D324" s="7">
        <v>2026</v>
      </c>
    </row>
    <row r="325" spans="1:4" x14ac:dyDescent="0.25">
      <c r="A325" s="7" t="s">
        <v>4</v>
      </c>
      <c r="B325" s="7">
        <v>374</v>
      </c>
      <c r="C325" s="7" t="s">
        <v>30</v>
      </c>
      <c r="D325" s="7">
        <v>2026</v>
      </c>
    </row>
    <row r="326" spans="1:4" x14ac:dyDescent="0.25">
      <c r="A326" s="7" t="s">
        <v>7</v>
      </c>
      <c r="B326" s="7">
        <v>172</v>
      </c>
      <c r="C326" s="7" t="s">
        <v>30</v>
      </c>
      <c r="D326" s="7">
        <v>2026</v>
      </c>
    </row>
    <row r="327" spans="1:4" x14ac:dyDescent="0.25">
      <c r="A327" s="7" t="s">
        <v>58</v>
      </c>
      <c r="B327" s="7">
        <v>161</v>
      </c>
      <c r="C327" s="7" t="s">
        <v>30</v>
      </c>
      <c r="D327" s="7">
        <v>2026</v>
      </c>
    </row>
    <row r="328" spans="1:4" x14ac:dyDescent="0.25">
      <c r="A328" s="7" t="s">
        <v>60</v>
      </c>
      <c r="B328" s="7">
        <v>157</v>
      </c>
      <c r="C328" s="7" t="s">
        <v>30</v>
      </c>
      <c r="D328" s="7">
        <v>2026</v>
      </c>
    </row>
    <row r="329" spans="1:4" x14ac:dyDescent="0.25">
      <c r="A329" s="7" t="s">
        <v>62</v>
      </c>
      <c r="B329" s="7">
        <v>127</v>
      </c>
      <c r="C329" s="7" t="s">
        <v>30</v>
      </c>
      <c r="D329" s="7">
        <v>2026</v>
      </c>
    </row>
    <row r="330" spans="1:4" x14ac:dyDescent="0.25">
      <c r="A330" s="7" t="s">
        <v>8</v>
      </c>
      <c r="B330" s="7">
        <v>122</v>
      </c>
      <c r="C330" s="7" t="s">
        <v>30</v>
      </c>
      <c r="D330" s="7">
        <v>2026</v>
      </c>
    </row>
    <row r="331" spans="1:4" x14ac:dyDescent="0.25">
      <c r="A331" s="7" t="s">
        <v>43</v>
      </c>
      <c r="B331" s="7">
        <v>114</v>
      </c>
      <c r="C331" s="7" t="s">
        <v>30</v>
      </c>
      <c r="D331" s="7">
        <v>2026</v>
      </c>
    </row>
    <row r="332" spans="1:4" x14ac:dyDescent="0.25">
      <c r="A332" s="7" t="s">
        <v>13</v>
      </c>
      <c r="B332" s="7">
        <v>104</v>
      </c>
      <c r="C332" s="7" t="s">
        <v>30</v>
      </c>
      <c r="D332" s="7">
        <v>2026</v>
      </c>
    </row>
    <row r="333" spans="1:4" x14ac:dyDescent="0.25">
      <c r="A333" s="7" t="s">
        <v>17</v>
      </c>
      <c r="B333" s="7">
        <v>93</v>
      </c>
      <c r="C333" s="7" t="s">
        <v>30</v>
      </c>
      <c r="D333" s="7">
        <v>2026</v>
      </c>
    </row>
    <row r="334" spans="1:4" x14ac:dyDescent="0.25">
      <c r="A334" s="7" t="s">
        <v>59</v>
      </c>
      <c r="B334" s="7">
        <v>91</v>
      </c>
      <c r="C334" s="7" t="s">
        <v>30</v>
      </c>
      <c r="D334" s="7">
        <v>2026</v>
      </c>
    </row>
    <row r="335" spans="1:4" x14ac:dyDescent="0.25">
      <c r="A335" s="7" t="s">
        <v>44</v>
      </c>
      <c r="B335" s="7">
        <v>84</v>
      </c>
      <c r="C335" s="7" t="s">
        <v>30</v>
      </c>
      <c r="D335" s="7">
        <v>2026</v>
      </c>
    </row>
    <row r="336" spans="1:4" x14ac:dyDescent="0.25">
      <c r="A336" s="7" t="s">
        <v>18</v>
      </c>
      <c r="B336" s="7">
        <v>83</v>
      </c>
      <c r="C336" s="7" t="s">
        <v>30</v>
      </c>
      <c r="D336" s="7">
        <v>2026</v>
      </c>
    </row>
    <row r="337" spans="1:4" x14ac:dyDescent="0.25">
      <c r="A337" s="7" t="s">
        <v>14</v>
      </c>
      <c r="B337" s="7">
        <v>72</v>
      </c>
      <c r="C337" s="7" t="s">
        <v>30</v>
      </c>
      <c r="D337" s="7">
        <v>2026</v>
      </c>
    </row>
    <row r="338" spans="1:4" x14ac:dyDescent="0.25">
      <c r="A338" s="7" t="s">
        <v>9</v>
      </c>
      <c r="B338" s="7">
        <v>66</v>
      </c>
      <c r="C338" s="7" t="s">
        <v>30</v>
      </c>
      <c r="D338" s="7">
        <v>2026</v>
      </c>
    </row>
    <row r="339" spans="1:4" x14ac:dyDescent="0.25">
      <c r="A339" s="7" t="s">
        <v>65</v>
      </c>
      <c r="B339" s="7">
        <v>37</v>
      </c>
      <c r="C339" s="7" t="s">
        <v>30</v>
      </c>
      <c r="D339" s="7">
        <v>2026</v>
      </c>
    </row>
    <row r="340" spans="1:4" x14ac:dyDescent="0.25">
      <c r="A340" s="7" t="s">
        <v>63</v>
      </c>
      <c r="B340" s="7">
        <v>6</v>
      </c>
      <c r="C340" s="7" t="s">
        <v>30</v>
      </c>
      <c r="D340" s="7">
        <v>2026</v>
      </c>
    </row>
    <row r="341" spans="1:4" x14ac:dyDescent="0.25">
      <c r="A341" s="7" t="s">
        <v>15</v>
      </c>
      <c r="B341" s="7">
        <v>1</v>
      </c>
      <c r="C341" s="7" t="s">
        <v>30</v>
      </c>
      <c r="D341" s="7">
        <v>2026</v>
      </c>
    </row>
    <row r="342" spans="1:4" x14ac:dyDescent="0.25">
      <c r="A342" s="7" t="s">
        <v>3</v>
      </c>
      <c r="B342" s="7">
        <v>1407</v>
      </c>
      <c r="C342" s="7" t="s">
        <v>31</v>
      </c>
      <c r="D342" s="7">
        <v>2026</v>
      </c>
    </row>
    <row r="343" spans="1:4" x14ac:dyDescent="0.25">
      <c r="A343" s="7" t="s">
        <v>4</v>
      </c>
      <c r="B343" s="7">
        <v>636</v>
      </c>
      <c r="C343" s="7" t="s">
        <v>31</v>
      </c>
      <c r="D343" s="7">
        <v>2026</v>
      </c>
    </row>
    <row r="344" spans="1:4" x14ac:dyDescent="0.25">
      <c r="A344" s="7" t="s">
        <v>6</v>
      </c>
      <c r="B344" s="7">
        <v>631</v>
      </c>
      <c r="C344" s="7" t="s">
        <v>31</v>
      </c>
      <c r="D344" s="7">
        <v>2026</v>
      </c>
    </row>
    <row r="345" spans="1:4" x14ac:dyDescent="0.25">
      <c r="A345" s="7" t="s">
        <v>5</v>
      </c>
      <c r="B345" s="7">
        <v>617</v>
      </c>
      <c r="C345" s="7" t="s">
        <v>31</v>
      </c>
      <c r="D345" s="7">
        <v>2026</v>
      </c>
    </row>
    <row r="346" spans="1:4" x14ac:dyDescent="0.25">
      <c r="A346" s="7" t="s">
        <v>54</v>
      </c>
      <c r="B346" s="7">
        <v>562</v>
      </c>
      <c r="C346" s="7" t="s">
        <v>31</v>
      </c>
      <c r="D346" s="7">
        <v>2026</v>
      </c>
    </row>
    <row r="347" spans="1:4" x14ac:dyDescent="0.25">
      <c r="A347" s="7" t="s">
        <v>7</v>
      </c>
      <c r="B347" s="7">
        <v>289</v>
      </c>
      <c r="C347" s="7" t="s">
        <v>31</v>
      </c>
      <c r="D347" s="7">
        <v>2026</v>
      </c>
    </row>
    <row r="348" spans="1:4" x14ac:dyDescent="0.25">
      <c r="A348" s="7" t="s">
        <v>58</v>
      </c>
      <c r="B348" s="7">
        <v>276</v>
      </c>
      <c r="C348" s="7" t="s">
        <v>31</v>
      </c>
      <c r="D348" s="7">
        <v>2026</v>
      </c>
    </row>
    <row r="349" spans="1:4" x14ac:dyDescent="0.25">
      <c r="A349" s="7" t="s">
        <v>43</v>
      </c>
      <c r="B349" s="7">
        <v>249</v>
      </c>
      <c r="C349" s="7" t="s">
        <v>31</v>
      </c>
      <c r="D349" s="7">
        <v>2026</v>
      </c>
    </row>
    <row r="350" spans="1:4" x14ac:dyDescent="0.25">
      <c r="A350" s="7" t="s">
        <v>8</v>
      </c>
      <c r="B350" s="7">
        <v>231</v>
      </c>
      <c r="C350" s="7" t="s">
        <v>31</v>
      </c>
      <c r="D350" s="7">
        <v>2026</v>
      </c>
    </row>
    <row r="351" spans="1:4" x14ac:dyDescent="0.25">
      <c r="A351" s="7" t="s">
        <v>17</v>
      </c>
      <c r="B351" s="7">
        <v>209</v>
      </c>
      <c r="C351" s="7" t="s">
        <v>31</v>
      </c>
      <c r="D351" s="7">
        <v>2026</v>
      </c>
    </row>
    <row r="352" spans="1:4" x14ac:dyDescent="0.25">
      <c r="A352" s="7" t="s">
        <v>9</v>
      </c>
      <c r="B352" s="7">
        <v>152</v>
      </c>
      <c r="C352" s="7" t="s">
        <v>31</v>
      </c>
      <c r="D352" s="7">
        <v>2026</v>
      </c>
    </row>
    <row r="353" spans="1:4" x14ac:dyDescent="0.25">
      <c r="A353" s="7" t="s">
        <v>60</v>
      </c>
      <c r="B353" s="7">
        <v>143</v>
      </c>
      <c r="C353" s="7" t="s">
        <v>31</v>
      </c>
      <c r="D353" s="7">
        <v>2026</v>
      </c>
    </row>
    <row r="354" spans="1:4" x14ac:dyDescent="0.25">
      <c r="A354" s="7" t="s">
        <v>13</v>
      </c>
      <c r="B354" s="7">
        <v>134</v>
      </c>
      <c r="C354" s="7" t="s">
        <v>31</v>
      </c>
      <c r="D354" s="7">
        <v>2026</v>
      </c>
    </row>
    <row r="355" spans="1:4" x14ac:dyDescent="0.25">
      <c r="A355" s="7" t="s">
        <v>18</v>
      </c>
      <c r="B355" s="7">
        <v>118</v>
      </c>
      <c r="C355" s="7" t="s">
        <v>31</v>
      </c>
      <c r="D355" s="7">
        <v>2026</v>
      </c>
    </row>
    <row r="356" spans="1:4" x14ac:dyDescent="0.25">
      <c r="A356" s="7" t="s">
        <v>44</v>
      </c>
      <c r="B356" s="7">
        <v>118</v>
      </c>
      <c r="C356" s="7" t="s">
        <v>31</v>
      </c>
      <c r="D356" s="7">
        <v>2026</v>
      </c>
    </row>
    <row r="357" spans="1:4" x14ac:dyDescent="0.25">
      <c r="A357" s="7" t="s">
        <v>14</v>
      </c>
      <c r="B357" s="7">
        <v>104</v>
      </c>
      <c r="C357" s="7" t="s">
        <v>31</v>
      </c>
      <c r="D357" s="7">
        <v>2026</v>
      </c>
    </row>
    <row r="358" spans="1:4" x14ac:dyDescent="0.25">
      <c r="A358" s="7" t="s">
        <v>59</v>
      </c>
      <c r="B358" s="7">
        <v>103</v>
      </c>
      <c r="C358" s="7" t="s">
        <v>31</v>
      </c>
      <c r="D358" s="7">
        <v>2026</v>
      </c>
    </row>
    <row r="359" spans="1:4" x14ac:dyDescent="0.25">
      <c r="A359" s="7" t="s">
        <v>65</v>
      </c>
      <c r="B359" s="7">
        <v>43</v>
      </c>
      <c r="C359" s="7" t="s">
        <v>31</v>
      </c>
      <c r="D359" s="7">
        <v>2026</v>
      </c>
    </row>
    <row r="360" spans="1:4" x14ac:dyDescent="0.25">
      <c r="A360" s="7" t="s">
        <v>63</v>
      </c>
      <c r="B360" s="7">
        <v>25</v>
      </c>
      <c r="C360" s="7" t="s">
        <v>31</v>
      </c>
      <c r="D360" s="7">
        <v>2026</v>
      </c>
    </row>
    <row r="361" spans="1:4" x14ac:dyDescent="0.25">
      <c r="A361" s="7" t="s">
        <v>62</v>
      </c>
      <c r="B361" s="7">
        <v>13</v>
      </c>
      <c r="C361" s="7" t="s">
        <v>31</v>
      </c>
      <c r="D361" s="7">
        <v>2026</v>
      </c>
    </row>
    <row r="362" spans="1:4" x14ac:dyDescent="0.25">
      <c r="A362" s="7" t="s">
        <v>15</v>
      </c>
      <c r="B362" s="7">
        <v>5</v>
      </c>
      <c r="C362" s="7" t="s">
        <v>31</v>
      </c>
      <c r="D362" s="7">
        <v>2026</v>
      </c>
    </row>
    <row r="363" spans="1:4" x14ac:dyDescent="0.25">
      <c r="A363" s="7" t="s">
        <v>42</v>
      </c>
      <c r="B363" s="7">
        <v>4</v>
      </c>
      <c r="C363" s="7" t="s">
        <v>31</v>
      </c>
      <c r="D363" s="7">
        <v>2026</v>
      </c>
    </row>
    <row r="364" spans="1:4" x14ac:dyDescent="0.25">
      <c r="A364" s="7" t="s">
        <v>24</v>
      </c>
      <c r="B364" s="7">
        <v>1</v>
      </c>
      <c r="C364" s="7" t="s">
        <v>31</v>
      </c>
      <c r="D364" s="7">
        <v>2026</v>
      </c>
    </row>
    <row r="365" spans="1:4" x14ac:dyDescent="0.25">
      <c r="A365" s="7" t="s">
        <v>3</v>
      </c>
      <c r="B365" s="7">
        <v>1205</v>
      </c>
      <c r="C365" s="7" t="s">
        <v>32</v>
      </c>
      <c r="D365" s="7">
        <v>2026</v>
      </c>
    </row>
    <row r="366" spans="1:4" x14ac:dyDescent="0.25">
      <c r="A366" s="7" t="s">
        <v>6</v>
      </c>
      <c r="B366" s="7">
        <v>616</v>
      </c>
      <c r="C366" s="7" t="s">
        <v>32</v>
      </c>
      <c r="D366" s="7">
        <v>2026</v>
      </c>
    </row>
    <row r="367" spans="1:4" x14ac:dyDescent="0.25">
      <c r="A367" s="7" t="s">
        <v>5</v>
      </c>
      <c r="B367" s="7">
        <v>534</v>
      </c>
      <c r="C367" s="7" t="s">
        <v>32</v>
      </c>
      <c r="D367" s="7">
        <v>2026</v>
      </c>
    </row>
    <row r="368" spans="1:4" x14ac:dyDescent="0.25">
      <c r="A368" s="7" t="s">
        <v>4</v>
      </c>
      <c r="B368" s="7">
        <v>503</v>
      </c>
      <c r="C368" s="7" t="s">
        <v>32</v>
      </c>
      <c r="D368" s="7">
        <v>2026</v>
      </c>
    </row>
    <row r="369" spans="1:4" x14ac:dyDescent="0.25">
      <c r="A369" s="7" t="s">
        <v>54</v>
      </c>
      <c r="B369" s="7">
        <v>431</v>
      </c>
      <c r="C369" s="7" t="s">
        <v>32</v>
      </c>
      <c r="D369" s="7">
        <v>2026</v>
      </c>
    </row>
    <row r="370" spans="1:4" x14ac:dyDescent="0.25">
      <c r="A370" s="7" t="s">
        <v>7</v>
      </c>
      <c r="B370" s="7">
        <v>217</v>
      </c>
      <c r="C370" s="7" t="s">
        <v>32</v>
      </c>
      <c r="D370" s="7">
        <v>2026</v>
      </c>
    </row>
    <row r="371" spans="1:4" x14ac:dyDescent="0.25">
      <c r="A371" s="7" t="s">
        <v>8</v>
      </c>
      <c r="B371" s="7">
        <v>186</v>
      </c>
      <c r="C371" s="7" t="s">
        <v>32</v>
      </c>
      <c r="D371" s="7">
        <v>2026</v>
      </c>
    </row>
    <row r="372" spans="1:4" x14ac:dyDescent="0.25">
      <c r="A372" s="7" t="s">
        <v>58</v>
      </c>
      <c r="B372" s="7">
        <v>171</v>
      </c>
      <c r="C372" s="7" t="s">
        <v>32</v>
      </c>
      <c r="D372" s="7">
        <v>2026</v>
      </c>
    </row>
    <row r="373" spans="1:4" x14ac:dyDescent="0.25">
      <c r="A373" s="7" t="s">
        <v>43</v>
      </c>
      <c r="B373" s="7">
        <v>133</v>
      </c>
      <c r="C373" s="7" t="s">
        <v>32</v>
      </c>
      <c r="D373" s="7">
        <v>2026</v>
      </c>
    </row>
    <row r="374" spans="1:4" x14ac:dyDescent="0.25">
      <c r="A374" s="7" t="s">
        <v>60</v>
      </c>
      <c r="B374" s="7">
        <v>124</v>
      </c>
      <c r="C374" s="7" t="s">
        <v>32</v>
      </c>
      <c r="D374" s="7">
        <v>2026</v>
      </c>
    </row>
    <row r="375" spans="1:4" x14ac:dyDescent="0.25">
      <c r="A375" s="7" t="s">
        <v>13</v>
      </c>
      <c r="B375" s="7">
        <v>112</v>
      </c>
      <c r="C375" s="7" t="s">
        <v>32</v>
      </c>
      <c r="D375" s="7">
        <v>2026</v>
      </c>
    </row>
    <row r="376" spans="1:4" x14ac:dyDescent="0.25">
      <c r="A376" s="7" t="s">
        <v>9</v>
      </c>
      <c r="B376" s="7">
        <v>96</v>
      </c>
      <c r="C376" s="7" t="s">
        <v>32</v>
      </c>
      <c r="D376" s="7">
        <v>2026</v>
      </c>
    </row>
    <row r="377" spans="1:4" x14ac:dyDescent="0.25">
      <c r="A377" s="7" t="s">
        <v>14</v>
      </c>
      <c r="B377" s="7">
        <v>75</v>
      </c>
      <c r="C377" s="7" t="s">
        <v>32</v>
      </c>
      <c r="D377" s="7">
        <v>2026</v>
      </c>
    </row>
    <row r="378" spans="1:4" x14ac:dyDescent="0.25">
      <c r="A378" s="7" t="s">
        <v>17</v>
      </c>
      <c r="B378" s="7">
        <v>73</v>
      </c>
      <c r="C378" s="7" t="s">
        <v>32</v>
      </c>
      <c r="D378" s="7">
        <v>2026</v>
      </c>
    </row>
    <row r="379" spans="1:4" x14ac:dyDescent="0.25">
      <c r="A379" s="7" t="s">
        <v>44</v>
      </c>
      <c r="B379" s="7">
        <v>70</v>
      </c>
      <c r="C379" s="7" t="s">
        <v>32</v>
      </c>
      <c r="D379" s="7">
        <v>2026</v>
      </c>
    </row>
    <row r="380" spans="1:4" x14ac:dyDescent="0.25">
      <c r="A380" s="7" t="s">
        <v>66</v>
      </c>
      <c r="B380" s="7">
        <v>70</v>
      </c>
      <c r="C380" s="7" t="s">
        <v>32</v>
      </c>
      <c r="D380" s="7">
        <v>2026</v>
      </c>
    </row>
    <row r="381" spans="1:4" x14ac:dyDescent="0.25">
      <c r="A381" s="7" t="s">
        <v>18</v>
      </c>
      <c r="B381" s="7">
        <v>66</v>
      </c>
      <c r="C381" s="7" t="s">
        <v>32</v>
      </c>
      <c r="D381" s="7">
        <v>2026</v>
      </c>
    </row>
    <row r="382" spans="1:4" x14ac:dyDescent="0.25">
      <c r="A382" s="7" t="s">
        <v>59</v>
      </c>
      <c r="B382" s="7">
        <v>58</v>
      </c>
      <c r="C382" s="7" t="s">
        <v>32</v>
      </c>
      <c r="D382" s="7">
        <v>2026</v>
      </c>
    </row>
    <row r="383" spans="1:4" x14ac:dyDescent="0.25">
      <c r="A383" s="7" t="s">
        <v>65</v>
      </c>
      <c r="B383" s="7">
        <v>41</v>
      </c>
      <c r="C383" s="7" t="s">
        <v>32</v>
      </c>
      <c r="D383" s="7">
        <v>2026</v>
      </c>
    </row>
    <row r="384" spans="1:4" x14ac:dyDescent="0.25">
      <c r="A384" s="7" t="s">
        <v>63</v>
      </c>
      <c r="B384" s="7">
        <v>18</v>
      </c>
      <c r="C384" s="7" t="s">
        <v>32</v>
      </c>
      <c r="D384" s="7">
        <v>2026</v>
      </c>
    </row>
    <row r="385" spans="1:4" x14ac:dyDescent="0.25">
      <c r="A385" s="7" t="s">
        <v>42</v>
      </c>
      <c r="B385" s="7">
        <v>3</v>
      </c>
      <c r="C385" s="7" t="s">
        <v>32</v>
      </c>
      <c r="D385" s="7">
        <v>2026</v>
      </c>
    </row>
    <row r="386" spans="1:4" x14ac:dyDescent="0.25">
      <c r="A386" s="7" t="s">
        <v>15</v>
      </c>
      <c r="B386" s="7">
        <v>1</v>
      </c>
      <c r="C386" s="7" t="s">
        <v>32</v>
      </c>
      <c r="D386" s="7">
        <v>2026</v>
      </c>
    </row>
    <row r="387" spans="1:4" x14ac:dyDescent="0.25">
      <c r="A387" s="7" t="s">
        <v>67</v>
      </c>
      <c r="B387" s="7">
        <v>1</v>
      </c>
      <c r="C387" s="7" t="s">
        <v>32</v>
      </c>
      <c r="D387" s="7">
        <v>2026</v>
      </c>
    </row>
    <row r="388" spans="1:4" x14ac:dyDescent="0.25">
      <c r="A388" s="7" t="s">
        <v>3</v>
      </c>
      <c r="B388" s="7">
        <v>875</v>
      </c>
      <c r="C388" s="7" t="s">
        <v>33</v>
      </c>
      <c r="D388" s="7">
        <v>2026</v>
      </c>
    </row>
    <row r="389" spans="1:4" x14ac:dyDescent="0.25">
      <c r="A389" s="7" t="s">
        <v>6</v>
      </c>
      <c r="B389" s="7">
        <v>646</v>
      </c>
      <c r="C389" s="7" t="s">
        <v>33</v>
      </c>
      <c r="D389" s="7">
        <v>2026</v>
      </c>
    </row>
    <row r="390" spans="1:4" x14ac:dyDescent="0.25">
      <c r="A390" s="7" t="s">
        <v>5</v>
      </c>
      <c r="B390" s="7">
        <v>573</v>
      </c>
      <c r="C390" s="7" t="s">
        <v>33</v>
      </c>
      <c r="D390" s="7">
        <v>2026</v>
      </c>
    </row>
    <row r="391" spans="1:4" x14ac:dyDescent="0.25">
      <c r="A391" s="7" t="s">
        <v>4</v>
      </c>
      <c r="B391" s="7">
        <v>571</v>
      </c>
      <c r="C391" s="7" t="s">
        <v>33</v>
      </c>
      <c r="D391" s="7">
        <v>2026</v>
      </c>
    </row>
    <row r="392" spans="1:4" x14ac:dyDescent="0.25">
      <c r="A392" s="7" t="s">
        <v>54</v>
      </c>
      <c r="B392" s="7">
        <v>501</v>
      </c>
      <c r="C392" s="7" t="s">
        <v>33</v>
      </c>
      <c r="D392" s="7">
        <v>2026</v>
      </c>
    </row>
    <row r="393" spans="1:4" x14ac:dyDescent="0.25">
      <c r="A393" s="7" t="s">
        <v>7</v>
      </c>
      <c r="B393" s="7">
        <v>227</v>
      </c>
      <c r="C393" s="7" t="s">
        <v>33</v>
      </c>
      <c r="D393" s="7">
        <v>2026</v>
      </c>
    </row>
    <row r="394" spans="1:4" x14ac:dyDescent="0.25">
      <c r="A394" s="7" t="s">
        <v>8</v>
      </c>
      <c r="B394" s="7">
        <v>195</v>
      </c>
      <c r="C394" s="7" t="s">
        <v>33</v>
      </c>
      <c r="D394" s="7">
        <v>2026</v>
      </c>
    </row>
    <row r="395" spans="1:4" x14ac:dyDescent="0.25">
      <c r="A395" s="7" t="s">
        <v>60</v>
      </c>
      <c r="B395" s="7">
        <v>194</v>
      </c>
      <c r="C395" s="7" t="s">
        <v>33</v>
      </c>
      <c r="D395" s="7">
        <v>2026</v>
      </c>
    </row>
    <row r="396" spans="1:4" x14ac:dyDescent="0.25">
      <c r="A396" s="7" t="s">
        <v>58</v>
      </c>
      <c r="B396" s="7">
        <v>179</v>
      </c>
      <c r="C396" s="7" t="s">
        <v>33</v>
      </c>
      <c r="D396" s="7">
        <v>2026</v>
      </c>
    </row>
    <row r="397" spans="1:4" x14ac:dyDescent="0.25">
      <c r="A397" s="7" t="s">
        <v>13</v>
      </c>
      <c r="B397" s="7">
        <v>119</v>
      </c>
      <c r="C397" s="7" t="s">
        <v>33</v>
      </c>
      <c r="D397" s="7">
        <v>2026</v>
      </c>
    </row>
    <row r="398" spans="1:4" x14ac:dyDescent="0.25">
      <c r="A398" s="7" t="s">
        <v>43</v>
      </c>
      <c r="B398" s="7">
        <v>118</v>
      </c>
      <c r="C398" s="7" t="s">
        <v>33</v>
      </c>
      <c r="D398" s="7">
        <v>2026</v>
      </c>
    </row>
    <row r="399" spans="1:4" x14ac:dyDescent="0.25">
      <c r="A399" s="7" t="s">
        <v>14</v>
      </c>
      <c r="B399" s="7">
        <v>95</v>
      </c>
      <c r="C399" s="7" t="s">
        <v>33</v>
      </c>
      <c r="D399" s="7">
        <v>2026</v>
      </c>
    </row>
    <row r="400" spans="1:4" x14ac:dyDescent="0.25">
      <c r="A400" s="7" t="s">
        <v>18</v>
      </c>
      <c r="B400" s="7">
        <v>89</v>
      </c>
      <c r="C400" s="7" t="s">
        <v>33</v>
      </c>
      <c r="D400" s="7">
        <v>2026</v>
      </c>
    </row>
    <row r="401" spans="1:4" x14ac:dyDescent="0.25">
      <c r="A401" s="7" t="s">
        <v>9</v>
      </c>
      <c r="B401" s="7">
        <v>85</v>
      </c>
      <c r="C401" s="7" t="s">
        <v>33</v>
      </c>
      <c r="D401" s="7">
        <v>2026</v>
      </c>
    </row>
    <row r="402" spans="1:4" x14ac:dyDescent="0.25">
      <c r="A402" s="7" t="s">
        <v>66</v>
      </c>
      <c r="B402" s="7">
        <v>75</v>
      </c>
      <c r="C402" s="7" t="s">
        <v>33</v>
      </c>
      <c r="D402" s="7">
        <v>2026</v>
      </c>
    </row>
    <row r="403" spans="1:4" x14ac:dyDescent="0.25">
      <c r="A403" s="7" t="s">
        <v>17</v>
      </c>
      <c r="B403" s="7">
        <v>68</v>
      </c>
      <c r="C403" s="7" t="s">
        <v>33</v>
      </c>
      <c r="D403" s="7">
        <v>2026</v>
      </c>
    </row>
    <row r="404" spans="1:4" x14ac:dyDescent="0.25">
      <c r="A404" s="7" t="s">
        <v>44</v>
      </c>
      <c r="B404" s="7">
        <v>64</v>
      </c>
      <c r="C404" s="7" t="s">
        <v>33</v>
      </c>
      <c r="D404" s="7">
        <v>2026</v>
      </c>
    </row>
    <row r="405" spans="1:4" x14ac:dyDescent="0.25">
      <c r="A405" s="7" t="s">
        <v>59</v>
      </c>
      <c r="B405" s="7">
        <v>57</v>
      </c>
      <c r="C405" s="7" t="s">
        <v>33</v>
      </c>
      <c r="D405" s="7">
        <v>2026</v>
      </c>
    </row>
    <row r="406" spans="1:4" x14ac:dyDescent="0.25">
      <c r="A406" s="7" t="s">
        <v>65</v>
      </c>
      <c r="B406" s="7">
        <v>52</v>
      </c>
      <c r="C406" s="7" t="s">
        <v>33</v>
      </c>
      <c r="D406" s="7">
        <v>2026</v>
      </c>
    </row>
    <row r="407" spans="1:4" x14ac:dyDescent="0.25">
      <c r="A407" s="7" t="s">
        <v>63</v>
      </c>
      <c r="B407" s="7">
        <v>8</v>
      </c>
      <c r="C407" s="7" t="s">
        <v>33</v>
      </c>
      <c r="D407" s="7">
        <v>2026</v>
      </c>
    </row>
    <row r="408" spans="1:4" x14ac:dyDescent="0.25">
      <c r="A408" s="7" t="s">
        <v>42</v>
      </c>
      <c r="B408" s="7">
        <v>2</v>
      </c>
      <c r="C408" s="7" t="s">
        <v>33</v>
      </c>
      <c r="D408" s="7">
        <v>2026</v>
      </c>
    </row>
    <row r="409" spans="1:4" x14ac:dyDescent="0.25">
      <c r="A409" s="7" t="s">
        <v>25</v>
      </c>
      <c r="B409" s="7">
        <v>1</v>
      </c>
      <c r="C409" s="7" t="s">
        <v>33</v>
      </c>
      <c r="D409" s="7">
        <v>2026</v>
      </c>
    </row>
    <row r="410" spans="1:4" x14ac:dyDescent="0.25">
      <c r="A410" s="7" t="s">
        <v>24</v>
      </c>
      <c r="B410" s="7">
        <v>1</v>
      </c>
      <c r="C410" s="7" t="s">
        <v>33</v>
      </c>
      <c r="D410" s="7">
        <v>2026</v>
      </c>
    </row>
    <row r="411" spans="1:4" x14ac:dyDescent="0.25">
      <c r="A411" s="7" t="s">
        <v>3</v>
      </c>
      <c r="B411" s="7">
        <v>1709</v>
      </c>
      <c r="C411" s="7" t="s">
        <v>34</v>
      </c>
      <c r="D411" s="7">
        <v>2026</v>
      </c>
    </row>
    <row r="412" spans="1:4" x14ac:dyDescent="0.25">
      <c r="A412" s="7" t="s">
        <v>6</v>
      </c>
      <c r="B412" s="7">
        <v>614</v>
      </c>
      <c r="C412" s="7" t="s">
        <v>34</v>
      </c>
      <c r="D412" s="7">
        <v>2026</v>
      </c>
    </row>
    <row r="413" spans="1:4" x14ac:dyDescent="0.25">
      <c r="A413" s="7" t="s">
        <v>4</v>
      </c>
      <c r="B413" s="7">
        <v>575</v>
      </c>
      <c r="C413" s="7" t="s">
        <v>34</v>
      </c>
      <c r="D413" s="7">
        <v>2026</v>
      </c>
    </row>
    <row r="414" spans="1:4" x14ac:dyDescent="0.25">
      <c r="A414" s="7" t="s">
        <v>5</v>
      </c>
      <c r="B414" s="7">
        <v>551</v>
      </c>
      <c r="C414" s="7" t="s">
        <v>34</v>
      </c>
      <c r="D414" s="7">
        <v>2026</v>
      </c>
    </row>
    <row r="415" spans="1:4" x14ac:dyDescent="0.25">
      <c r="A415" s="7" t="s">
        <v>54</v>
      </c>
      <c r="B415" s="7">
        <v>464</v>
      </c>
      <c r="C415" s="7" t="s">
        <v>34</v>
      </c>
      <c r="D415" s="7">
        <v>2026</v>
      </c>
    </row>
    <row r="416" spans="1:4" x14ac:dyDescent="0.25">
      <c r="A416" s="7" t="s">
        <v>8</v>
      </c>
      <c r="B416" s="7">
        <v>203</v>
      </c>
      <c r="C416" s="7" t="s">
        <v>34</v>
      </c>
      <c r="D416" s="7">
        <v>2026</v>
      </c>
    </row>
    <row r="417" spans="1:4" x14ac:dyDescent="0.25">
      <c r="A417" s="7" t="s">
        <v>7</v>
      </c>
      <c r="B417" s="7">
        <v>191</v>
      </c>
      <c r="C417" s="7" t="s">
        <v>34</v>
      </c>
      <c r="D417" s="7">
        <v>2026</v>
      </c>
    </row>
    <row r="418" spans="1:4" x14ac:dyDescent="0.25">
      <c r="A418" s="7" t="s">
        <v>58</v>
      </c>
      <c r="B418" s="7">
        <v>187</v>
      </c>
      <c r="C418" s="7" t="s">
        <v>34</v>
      </c>
      <c r="D418" s="7">
        <v>2026</v>
      </c>
    </row>
    <row r="419" spans="1:4" x14ac:dyDescent="0.25">
      <c r="A419" s="7" t="s">
        <v>14</v>
      </c>
      <c r="B419" s="7">
        <v>147</v>
      </c>
      <c r="C419" s="7" t="s">
        <v>34</v>
      </c>
      <c r="D419" s="7">
        <v>2026</v>
      </c>
    </row>
    <row r="420" spans="1:4" x14ac:dyDescent="0.25">
      <c r="A420" s="7" t="s">
        <v>60</v>
      </c>
      <c r="B420" s="7">
        <v>142</v>
      </c>
      <c r="C420" s="7" t="s">
        <v>34</v>
      </c>
      <c r="D420" s="7">
        <v>2026</v>
      </c>
    </row>
    <row r="421" spans="1:4" x14ac:dyDescent="0.25">
      <c r="A421" s="7" t="s">
        <v>9</v>
      </c>
      <c r="B421" s="7">
        <v>120</v>
      </c>
      <c r="C421" s="7" t="s">
        <v>34</v>
      </c>
      <c r="D421" s="7">
        <v>2026</v>
      </c>
    </row>
    <row r="422" spans="1:4" x14ac:dyDescent="0.25">
      <c r="A422" s="7" t="s">
        <v>17</v>
      </c>
      <c r="B422" s="7">
        <v>107</v>
      </c>
      <c r="C422" s="7" t="s">
        <v>34</v>
      </c>
      <c r="D422" s="7">
        <v>2026</v>
      </c>
    </row>
    <row r="423" spans="1:4" x14ac:dyDescent="0.25">
      <c r="A423" s="7" t="s">
        <v>18</v>
      </c>
      <c r="B423" s="7">
        <v>97</v>
      </c>
      <c r="C423" s="7" t="s">
        <v>34</v>
      </c>
      <c r="D423" s="7">
        <v>2026</v>
      </c>
    </row>
    <row r="424" spans="1:4" x14ac:dyDescent="0.25">
      <c r="A424" s="7" t="s">
        <v>44</v>
      </c>
      <c r="B424" s="7">
        <v>73</v>
      </c>
      <c r="C424" s="7" t="s">
        <v>34</v>
      </c>
      <c r="D424" s="7">
        <v>2026</v>
      </c>
    </row>
    <row r="425" spans="1:4" x14ac:dyDescent="0.25">
      <c r="A425" s="7" t="s">
        <v>43</v>
      </c>
      <c r="B425" s="7">
        <v>70</v>
      </c>
      <c r="C425" s="7" t="s">
        <v>34</v>
      </c>
      <c r="D425" s="7">
        <v>2026</v>
      </c>
    </row>
    <row r="426" spans="1:4" x14ac:dyDescent="0.25">
      <c r="A426" s="7" t="s">
        <v>65</v>
      </c>
      <c r="B426" s="7">
        <v>35</v>
      </c>
      <c r="C426" s="7" t="s">
        <v>34</v>
      </c>
      <c r="D426" s="7">
        <v>2026</v>
      </c>
    </row>
    <row r="427" spans="1:4" x14ac:dyDescent="0.25">
      <c r="A427" s="7" t="s">
        <v>66</v>
      </c>
      <c r="B427" s="7">
        <v>31</v>
      </c>
      <c r="C427" s="7" t="s">
        <v>34</v>
      </c>
      <c r="D427" s="7">
        <v>2026</v>
      </c>
    </row>
    <row r="428" spans="1:4" x14ac:dyDescent="0.25">
      <c r="A428" s="7" t="s">
        <v>63</v>
      </c>
      <c r="B428" s="7">
        <v>31</v>
      </c>
      <c r="C428" s="7" t="s">
        <v>34</v>
      </c>
      <c r="D428" s="7">
        <v>2026</v>
      </c>
    </row>
    <row r="429" spans="1:4" x14ac:dyDescent="0.25">
      <c r="A429" s="7" t="s">
        <v>59</v>
      </c>
      <c r="B429" s="7">
        <v>31</v>
      </c>
      <c r="C429" s="7" t="s">
        <v>34</v>
      </c>
      <c r="D429" s="7">
        <v>2026</v>
      </c>
    </row>
    <row r="430" spans="1:4" x14ac:dyDescent="0.25">
      <c r="A430" s="7" t="s">
        <v>41</v>
      </c>
      <c r="B430" s="7">
        <v>2</v>
      </c>
      <c r="C430" s="7" t="s">
        <v>34</v>
      </c>
      <c r="D430" s="7">
        <v>2026</v>
      </c>
    </row>
    <row r="431" spans="1:4" x14ac:dyDescent="0.25">
      <c r="A431" s="7" t="s">
        <v>42</v>
      </c>
      <c r="B431" s="7">
        <v>1</v>
      </c>
      <c r="C431" s="7" t="s">
        <v>34</v>
      </c>
      <c r="D431" s="7">
        <v>2026</v>
      </c>
    </row>
    <row r="432" spans="1:4" x14ac:dyDescent="0.25">
      <c r="A432" s="7" t="s">
        <v>15</v>
      </c>
      <c r="B432" s="7">
        <v>1</v>
      </c>
      <c r="C432" s="7" t="s">
        <v>34</v>
      </c>
      <c r="D432" s="7">
        <v>2026</v>
      </c>
    </row>
    <row r="433" spans="1:4" x14ac:dyDescent="0.25">
      <c r="A433" s="7" t="s">
        <v>13</v>
      </c>
      <c r="B433" s="7">
        <v>1</v>
      </c>
      <c r="C433" s="7" t="s">
        <v>34</v>
      </c>
      <c r="D433" s="7">
        <v>2026</v>
      </c>
    </row>
    <row r="434" spans="1:4" x14ac:dyDescent="0.25">
      <c r="A434" s="7" t="s">
        <v>3</v>
      </c>
      <c r="B434" s="7">
        <v>2379</v>
      </c>
      <c r="C434" s="7" t="s">
        <v>35</v>
      </c>
      <c r="D434" s="7">
        <v>2026</v>
      </c>
    </row>
    <row r="435" spans="1:4" x14ac:dyDescent="0.25">
      <c r="A435" t="s">
        <v>6</v>
      </c>
      <c r="B435">
        <v>816</v>
      </c>
      <c r="C435" t="s">
        <v>35</v>
      </c>
      <c r="D435">
        <v>2026</v>
      </c>
    </row>
    <row r="436" spans="1:4" x14ac:dyDescent="0.25">
      <c r="A436" t="s">
        <v>4</v>
      </c>
      <c r="B436">
        <v>803</v>
      </c>
      <c r="C436" t="s">
        <v>35</v>
      </c>
      <c r="D436">
        <v>2026</v>
      </c>
    </row>
    <row r="437" spans="1:4" x14ac:dyDescent="0.25">
      <c r="A437" t="s">
        <v>5</v>
      </c>
      <c r="B437">
        <v>751</v>
      </c>
      <c r="C437" t="s">
        <v>35</v>
      </c>
      <c r="D437">
        <v>2026</v>
      </c>
    </row>
    <row r="438" spans="1:4" x14ac:dyDescent="0.25">
      <c r="A438" t="s">
        <v>54</v>
      </c>
      <c r="B438">
        <v>594</v>
      </c>
      <c r="C438" t="s">
        <v>35</v>
      </c>
      <c r="D438">
        <v>2026</v>
      </c>
    </row>
    <row r="439" spans="1:4" x14ac:dyDescent="0.25">
      <c r="A439" t="s">
        <v>7</v>
      </c>
      <c r="B439">
        <v>266</v>
      </c>
      <c r="C439" t="s">
        <v>35</v>
      </c>
      <c r="D439">
        <v>2026</v>
      </c>
    </row>
    <row r="440" spans="1:4" x14ac:dyDescent="0.25">
      <c r="A440" t="s">
        <v>8</v>
      </c>
      <c r="B440">
        <v>243</v>
      </c>
      <c r="C440" t="s">
        <v>35</v>
      </c>
      <c r="D440">
        <v>2026</v>
      </c>
    </row>
    <row r="441" spans="1:4" x14ac:dyDescent="0.25">
      <c r="A441" t="s">
        <v>60</v>
      </c>
      <c r="B441">
        <v>228</v>
      </c>
      <c r="C441" t="s">
        <v>35</v>
      </c>
      <c r="D441">
        <v>2026</v>
      </c>
    </row>
    <row r="442" spans="1:4" x14ac:dyDescent="0.25">
      <c r="A442" t="s">
        <v>13</v>
      </c>
      <c r="B442">
        <v>185</v>
      </c>
      <c r="C442" t="s">
        <v>35</v>
      </c>
      <c r="D442">
        <v>2026</v>
      </c>
    </row>
    <row r="443" spans="1:4" x14ac:dyDescent="0.25">
      <c r="A443" t="s">
        <v>17</v>
      </c>
      <c r="B443">
        <v>111</v>
      </c>
      <c r="C443" t="s">
        <v>35</v>
      </c>
      <c r="D443">
        <v>2026</v>
      </c>
    </row>
    <row r="444" spans="1:4" x14ac:dyDescent="0.25">
      <c r="A444" t="s">
        <v>18</v>
      </c>
      <c r="B444">
        <v>109</v>
      </c>
      <c r="C444" t="s">
        <v>35</v>
      </c>
      <c r="D444">
        <v>2026</v>
      </c>
    </row>
    <row r="445" spans="1:4" x14ac:dyDescent="0.25">
      <c r="A445" t="s">
        <v>14</v>
      </c>
      <c r="B445">
        <v>96</v>
      </c>
      <c r="C445" t="s">
        <v>35</v>
      </c>
      <c r="D445">
        <v>2026</v>
      </c>
    </row>
    <row r="446" spans="1:4" x14ac:dyDescent="0.25">
      <c r="A446" t="s">
        <v>43</v>
      </c>
      <c r="B446">
        <v>95</v>
      </c>
      <c r="C446" t="s">
        <v>35</v>
      </c>
      <c r="D446">
        <v>2026</v>
      </c>
    </row>
    <row r="447" spans="1:4" x14ac:dyDescent="0.25">
      <c r="A447" t="s">
        <v>63</v>
      </c>
      <c r="B447">
        <v>89</v>
      </c>
      <c r="C447" t="s">
        <v>35</v>
      </c>
      <c r="D447">
        <v>2026</v>
      </c>
    </row>
    <row r="448" spans="1:4" x14ac:dyDescent="0.25">
      <c r="A448" t="s">
        <v>68</v>
      </c>
      <c r="B448">
        <v>86</v>
      </c>
      <c r="C448" t="s">
        <v>35</v>
      </c>
      <c r="D448">
        <v>2026</v>
      </c>
    </row>
    <row r="449" spans="1:4" x14ac:dyDescent="0.25">
      <c r="A449" t="s">
        <v>9</v>
      </c>
      <c r="B449">
        <v>79</v>
      </c>
      <c r="C449" t="s">
        <v>35</v>
      </c>
      <c r="D449">
        <v>2026</v>
      </c>
    </row>
    <row r="450" spans="1:4" x14ac:dyDescent="0.25">
      <c r="A450" t="s">
        <v>44</v>
      </c>
      <c r="B450">
        <v>77</v>
      </c>
      <c r="C450" t="s">
        <v>35</v>
      </c>
      <c r="D450">
        <v>2026</v>
      </c>
    </row>
    <row r="451" spans="1:4" x14ac:dyDescent="0.25">
      <c r="A451" t="s">
        <v>58</v>
      </c>
      <c r="B451">
        <v>75</v>
      </c>
      <c r="C451" t="s">
        <v>35</v>
      </c>
      <c r="D451">
        <v>2026</v>
      </c>
    </row>
    <row r="452" spans="1:4" x14ac:dyDescent="0.25">
      <c r="A452" t="s">
        <v>59</v>
      </c>
      <c r="B452">
        <v>60</v>
      </c>
      <c r="C452" t="s">
        <v>35</v>
      </c>
      <c r="D452">
        <v>2026</v>
      </c>
    </row>
    <row r="453" spans="1:4" x14ac:dyDescent="0.25">
      <c r="A453" t="s">
        <v>69</v>
      </c>
      <c r="B453">
        <v>42</v>
      </c>
      <c r="C453" t="s">
        <v>35</v>
      </c>
      <c r="D453">
        <v>2026</v>
      </c>
    </row>
    <row r="454" spans="1:4" x14ac:dyDescent="0.25">
      <c r="A454" t="s">
        <v>45</v>
      </c>
      <c r="B454">
        <v>8</v>
      </c>
      <c r="C454" t="s">
        <v>35</v>
      </c>
      <c r="D454">
        <v>2026</v>
      </c>
    </row>
    <row r="455" spans="1:4" x14ac:dyDescent="0.25">
      <c r="A455" t="s">
        <v>42</v>
      </c>
      <c r="B455">
        <v>7</v>
      </c>
      <c r="C455" t="s">
        <v>35</v>
      </c>
      <c r="D455">
        <v>2026</v>
      </c>
    </row>
    <row r="456" spans="1:4" x14ac:dyDescent="0.25">
      <c r="A456" t="s">
        <v>15</v>
      </c>
      <c r="B456">
        <v>7</v>
      </c>
      <c r="C456" t="s">
        <v>35</v>
      </c>
      <c r="D456">
        <v>2026</v>
      </c>
    </row>
    <row r="457" spans="1:4" x14ac:dyDescent="0.25">
      <c r="A457" t="s">
        <v>23</v>
      </c>
      <c r="B457">
        <v>4</v>
      </c>
      <c r="C457" t="s">
        <v>35</v>
      </c>
      <c r="D457">
        <v>2026</v>
      </c>
    </row>
    <row r="458" spans="1:4" x14ac:dyDescent="0.25">
      <c r="A458" t="s">
        <v>70</v>
      </c>
      <c r="B458">
        <v>2</v>
      </c>
      <c r="C458" t="s">
        <v>35</v>
      </c>
      <c r="D458">
        <v>2026</v>
      </c>
    </row>
    <row r="459" spans="1:4" x14ac:dyDescent="0.25">
      <c r="A459" t="s">
        <v>24</v>
      </c>
      <c r="B459">
        <v>1</v>
      </c>
      <c r="C459" t="s">
        <v>35</v>
      </c>
      <c r="D459">
        <v>2026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5"/>
  <tableParts count="2"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83892D-C826-4AB5-9B4B-9EA52B175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 Lima</cp:lastModifiedBy>
  <dcterms:created xsi:type="dcterms:W3CDTF">2025-05-02T16:49:28Z</dcterms:created>
  <dcterms:modified xsi:type="dcterms:W3CDTF">2026-08-04T14:06:05Z</dcterms:modified>
</cp:coreProperties>
</file>